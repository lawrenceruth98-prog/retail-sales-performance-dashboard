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BBCBE185-40E4-4B0F-A689-C11E52CDF715}" xr6:coauthVersionLast="47" xr6:coauthVersionMax="47" xr10:uidLastSave="{00000000-0000-0000-0000-000000000000}"/>
  <bookViews>
    <workbookView xWindow="-108" yWindow="-108" windowWidth="23256" windowHeight="12576" activeTab="2" xr2:uid="{E01E8781-7CFC-4B4E-BFD8-91C1172AED3E}"/>
  </bookViews>
  <sheets>
    <sheet name="retail_sales_dataset" sheetId="1" r:id="rId1"/>
    <sheet name="Pivot Table" sheetId="9" r:id="rId2"/>
    <sheet name="Dashboard" sheetId="11" r:id="rId3"/>
    <sheet name="Project Documentation" sheetId="14" r:id="rId4"/>
  </sheets>
  <definedNames>
    <definedName name="Slicer_Date">#N/A</definedName>
    <definedName name="Slicer_Gender">#N/A</definedName>
    <definedName name="Slicer_Product_Category">#N/A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1" l="1"/>
  <c r="B8" i="11"/>
  <c r="B7" i="11"/>
  <c r="B5" i="11"/>
  <c r="B4" i="11"/>
  <c r="O2" i="1"/>
  <c r="O6" i="1"/>
  <c r="O5" i="1"/>
  <c r="O4" i="1"/>
  <c r="O3" i="1"/>
</calcChain>
</file>

<file path=xl/sharedStrings.xml><?xml version="1.0" encoding="utf-8"?>
<sst xmlns="http://schemas.openxmlformats.org/spreadsheetml/2006/main" count="3043" uniqueCount="1035">
  <si>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</si>
  <si>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</si>
  <si>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</si>
  <si>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</si>
  <si>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</si>
  <si>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</si>
  <si>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</si>
  <si>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</si>
  <si>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</si>
  <si>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</si>
  <si>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</si>
  <si>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</si>
  <si>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</si>
  <si>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</si>
  <si>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</si>
  <si>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</si>
  <si>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</si>
  <si>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</si>
  <si>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</si>
  <si>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</si>
  <si>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</si>
  <si>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</si>
  <si>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</si>
  <si>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</si>
  <si>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</si>
  <si>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</si>
  <si>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</si>
  <si>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</si>
  <si>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</si>
  <si>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</si>
  <si>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</si>
  <si>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</si>
  <si>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</si>
  <si>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</si>
  <si>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</si>
  <si>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</si>
  <si>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</si>
  <si>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</si>
  <si>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</si>
  <si>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</si>
  <si>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</si>
  <si>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</si>
  <si>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</si>
  <si>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</si>
  <si>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</si>
  <si>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</si>
  <si>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</si>
  <si>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</si>
  <si>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</si>
  <si>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</si>
  <si>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</si>
  <si>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</si>
  <si>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</si>
  <si>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</si>
  <si>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</si>
  <si>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</si>
  <si>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</si>
  <si>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</si>
  <si>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</si>
  <si>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</si>
  <si>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</si>
  <si>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</si>
  <si>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</si>
  <si>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</si>
  <si>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</si>
  <si>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</si>
  <si>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</si>
  <si>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</si>
  <si>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</si>
  <si>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</si>
  <si>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</si>
  <si>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</si>
  <si>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</si>
  <si>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</si>
  <si>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</si>
  <si>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</si>
  <si>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</si>
  <si>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</si>
  <si>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</si>
  <si>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</si>
  <si>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</si>
  <si>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</si>
  <si>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</si>
  <si>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</si>
  <si>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</si>
  <si>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</si>
  <si>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</si>
  <si>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</si>
  <si>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</si>
  <si>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</si>
  <si>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</si>
  <si>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</si>
  <si>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</si>
  <si>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</si>
  <si>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</si>
  <si>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</si>
  <si>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</si>
  <si>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</si>
  <si>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</si>
  <si>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</si>
  <si>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</si>
  <si>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</si>
  <si>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</si>
  <si>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</si>
  <si>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</si>
  <si>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</si>
  <si>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</si>
  <si>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</si>
  <si>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</si>
  <si>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</si>
  <si>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</si>
  <si>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</si>
  <si>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</si>
  <si>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</si>
  <si>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</si>
  <si>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</si>
  <si>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</si>
  <si>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</si>
  <si>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</si>
  <si>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</si>
  <si>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</si>
  <si>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</si>
  <si>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</si>
  <si>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</si>
  <si>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</si>
  <si>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</si>
  <si>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</si>
  <si>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</si>
  <si>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</si>
  <si>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</si>
  <si>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</si>
  <si>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</si>
  <si>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</si>
  <si>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</si>
  <si>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</si>
  <si>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</si>
  <si>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</si>
  <si>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</si>
  <si>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</si>
  <si>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</si>
  <si>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</si>
  <si>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</si>
  <si>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</si>
  <si>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</si>
  <si>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</si>
  <si>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</si>
  <si>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</si>
  <si>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</si>
  <si>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</si>
  <si>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</si>
  <si>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</si>
  <si>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</si>
  <si>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</si>
  <si>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</si>
  <si>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</si>
  <si>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</si>
  <si>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</si>
  <si>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</si>
  <si>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</si>
  <si>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</si>
  <si>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</si>
  <si>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</si>
  <si>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</si>
  <si>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</si>
  <si>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</si>
  <si>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</si>
  <si>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</si>
  <si>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</si>
  <si>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</si>
  <si>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</si>
  <si>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</si>
  <si>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</si>
  <si>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</si>
  <si>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</si>
  <si>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</si>
  <si>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</si>
  <si>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</si>
  <si>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</si>
  <si>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</si>
  <si>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</si>
  <si>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</si>
  <si>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</si>
  <si>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</si>
  <si>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</si>
  <si>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</si>
  <si>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</si>
  <si>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</si>
  <si>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</si>
  <si>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</si>
  <si>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</si>
  <si>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</si>
  <si>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</si>
  <si>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</si>
  <si>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</si>
  <si>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</si>
  <si>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</si>
  <si>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</si>
  <si>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</si>
  <si>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</si>
  <si>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</si>
  <si>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</si>
  <si>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</si>
  <si>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</si>
  <si>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</si>
  <si>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</si>
  <si>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</si>
  <si>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</si>
  <si>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</si>
  <si>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</si>
  <si>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</si>
  <si>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</si>
  <si>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</si>
  <si>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</si>
  <si>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</si>
  <si>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</si>
  <si>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</si>
  <si>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</si>
  <si>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</si>
  <si>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</si>
  <si>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</si>
  <si>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</si>
  <si>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</si>
  <si>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</si>
  <si>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</si>
  <si>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</si>
  <si>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</si>
  <si>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</si>
  <si>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</si>
  <si>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</si>
  <si>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</si>
  <si>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</si>
  <si>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</si>
  <si>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</si>
  <si>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</si>
  <si>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</si>
  <si>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</si>
  <si>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</si>
  <si>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</si>
  <si>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</si>
  <si>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</si>
  <si>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</si>
  <si>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</si>
  <si>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</si>
  <si>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</si>
  <si>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</si>
  <si>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</si>
  <si>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</si>
  <si>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</si>
  <si>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</si>
  <si>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</si>
  <si>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</si>
  <si>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</si>
  <si>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</si>
  <si>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</si>
  <si>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</si>
  <si>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</si>
  <si>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</si>
  <si>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</si>
  <si>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</si>
  <si>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</si>
  <si>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</si>
  <si>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</si>
  <si>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</si>
  <si>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</si>
  <si>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</si>
  <si>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</si>
  <si>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</si>
  <si>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</si>
  <si>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</si>
  <si>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</si>
  <si>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</si>
  <si>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</si>
  <si>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</si>
  <si>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</si>
  <si>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</si>
  <si>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</si>
  <si>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</si>
  <si>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</si>
  <si>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</si>
  <si>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</si>
  <si>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</si>
  <si>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</si>
  <si>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</si>
  <si>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</si>
  <si>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</si>
  <si>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</si>
  <si>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</si>
  <si>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</si>
  <si>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</si>
  <si>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</si>
  <si>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</si>
  <si>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</si>
  <si>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</si>
  <si>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</si>
  <si>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</si>
  <si>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</si>
  <si>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</si>
  <si>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</si>
  <si>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</si>
  <si>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</si>
  <si>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</si>
  <si>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</si>
  <si>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</si>
  <si>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</si>
  <si>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</si>
  <si>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</si>
  <si>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</si>
  <si>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</si>
  <si>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</si>
  <si>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</si>
  <si>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</si>
  <si>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</si>
  <si>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</si>
  <si>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</si>
  <si>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</si>
  <si>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</si>
  <si>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</si>
  <si>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</si>
  <si>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</si>
  <si>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</si>
  <si>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</si>
  <si>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</si>
  <si>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</si>
  <si>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</si>
  <si>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</si>
  <si>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</si>
  <si>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</si>
  <si>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</si>
  <si>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</si>
  <si>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</si>
  <si>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</si>
  <si>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</si>
  <si>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</si>
  <si>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</si>
  <si>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</si>
  <si>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</si>
  <si>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</si>
  <si>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</si>
  <si>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</si>
  <si>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</si>
  <si>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</si>
  <si>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</si>
  <si>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</si>
  <si>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</si>
  <si>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</si>
  <si>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</si>
  <si>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</si>
  <si>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</si>
  <si>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</si>
  <si>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</si>
  <si>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</si>
  <si>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</si>
  <si>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</si>
  <si>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</si>
  <si>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</si>
  <si>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</si>
  <si>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</si>
  <si>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</si>
  <si>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</si>
  <si>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</si>
  <si>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</si>
  <si>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</si>
  <si>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</si>
  <si>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</si>
  <si>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</si>
  <si>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</si>
  <si>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</si>
  <si>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</si>
  <si>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</si>
  <si>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</si>
  <si>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</si>
  <si>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</si>
  <si>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</si>
  <si>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</si>
  <si>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</si>
  <si>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</si>
  <si>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</si>
  <si>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</si>
  <si>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</si>
  <si>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</si>
  <si>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</si>
  <si>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</si>
  <si>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</si>
  <si>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</si>
  <si>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</si>
  <si>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</si>
  <si>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</si>
  <si>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</si>
  <si>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</si>
  <si>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</si>
  <si>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</si>
  <si>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</si>
  <si>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</si>
  <si>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</si>
  <si>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</si>
  <si>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</si>
  <si>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</si>
  <si>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</si>
  <si>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</si>
  <si>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</si>
  <si>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</si>
  <si>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</si>
  <si>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</si>
  <si>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</si>
  <si>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</si>
  <si>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</si>
  <si>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</si>
  <si>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</si>
  <si>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</si>
  <si>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</si>
  <si>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</si>
  <si>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</si>
  <si>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</si>
  <si>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</si>
  <si>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</si>
  <si>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</si>
  <si>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</si>
  <si>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</si>
  <si>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</si>
  <si>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</si>
  <si>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</si>
  <si>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</si>
  <si>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</si>
  <si>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</si>
  <si>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</si>
  <si>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</si>
  <si>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</si>
  <si>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</si>
  <si>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</si>
  <si>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</si>
  <si>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</si>
  <si>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</si>
  <si>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</si>
  <si>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</si>
  <si>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</si>
  <si>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</si>
  <si>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</si>
  <si>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</si>
  <si>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</si>
  <si>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</si>
  <si>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</si>
  <si>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</si>
  <si>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</si>
  <si>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</si>
  <si>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</si>
  <si>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</si>
  <si>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</si>
  <si>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</si>
  <si>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</si>
  <si>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</si>
  <si>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</si>
  <si>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</si>
  <si>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</si>
  <si>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</si>
  <si>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</si>
  <si>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</si>
  <si>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</si>
  <si>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</si>
  <si>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</si>
  <si>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</si>
  <si>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</si>
  <si>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</si>
  <si>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</si>
  <si>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</si>
  <si>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</si>
  <si>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</si>
  <si>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</si>
  <si>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</si>
  <si>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</si>
  <si>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</si>
  <si>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</si>
  <si>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</si>
  <si>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</si>
  <si>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</si>
  <si>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</si>
  <si>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</si>
  <si>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</si>
  <si>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</si>
  <si>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</si>
  <si>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</si>
  <si>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</si>
  <si>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</si>
  <si>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</si>
  <si>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</si>
  <si>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</si>
  <si>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</si>
  <si>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</si>
  <si>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</si>
  <si>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</si>
  <si>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</si>
  <si>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</si>
  <si>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</si>
  <si>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</si>
  <si>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</si>
  <si>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</si>
  <si>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</si>
  <si>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</si>
  <si>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</si>
  <si>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</si>
  <si>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</si>
  <si>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</si>
  <si>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</si>
  <si>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</si>
  <si>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</si>
  <si>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</si>
  <si>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</si>
  <si>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</si>
  <si>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</si>
  <si>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</si>
  <si>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</si>
  <si>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</si>
  <si>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</si>
  <si>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</si>
  <si>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</si>
  <si>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</si>
  <si>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</si>
  <si>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</si>
  <si>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</si>
  <si>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</si>
  <si>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</si>
  <si>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</si>
  <si>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</si>
  <si>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</si>
  <si>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</si>
  <si>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</si>
  <si>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</si>
  <si>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</si>
  <si>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</si>
  <si>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</si>
  <si>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</si>
  <si>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</si>
  <si>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</si>
  <si>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</si>
  <si>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</si>
  <si>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</si>
  <si>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</si>
  <si>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</si>
  <si>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</si>
  <si>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</si>
  <si>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</si>
  <si>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</si>
  <si>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</si>
  <si>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</si>
  <si>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</si>
  <si>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</si>
  <si>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</si>
  <si>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</si>
  <si>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</si>
  <si>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</si>
  <si>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</si>
  <si>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</si>
  <si>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</si>
  <si>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</si>
  <si>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</si>
  <si>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</si>
  <si>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</si>
  <si>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</si>
  <si>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</si>
  <si>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</si>
  <si>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</si>
  <si>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</si>
  <si>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</si>
  <si>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</si>
  <si>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</si>
  <si>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</si>
  <si>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</si>
  <si>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</si>
  <si>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</si>
  <si>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</si>
  <si>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</si>
  <si>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</si>
  <si>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</si>
  <si>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</si>
  <si>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</si>
  <si>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</si>
  <si>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</si>
  <si>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</si>
  <si>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</si>
  <si>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</si>
  <si>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</si>
  <si>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</si>
  <si>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</si>
  <si>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</si>
  <si>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</si>
  <si>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</si>
  <si>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</si>
  <si>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</si>
  <si>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</si>
  <si>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</si>
  <si>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</si>
  <si>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</si>
  <si>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</si>
  <si>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</si>
  <si>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</si>
  <si>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</si>
  <si>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</si>
  <si>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</si>
  <si>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</si>
  <si>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</si>
  <si>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</si>
  <si>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</si>
  <si>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</si>
  <si>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</si>
  <si>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</si>
  <si>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</si>
  <si>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</si>
  <si>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</si>
  <si>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</si>
  <si>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</si>
  <si>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</si>
  <si>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</si>
  <si>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</si>
  <si>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</si>
  <si>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</si>
  <si>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</si>
  <si>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</si>
  <si>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</si>
  <si>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</si>
  <si>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</si>
  <si>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</si>
  <si>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</si>
  <si>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</si>
  <si>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</si>
  <si>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</si>
  <si>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</si>
  <si>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</si>
  <si>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</si>
  <si>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</si>
  <si>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</si>
  <si>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</si>
  <si>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</si>
  <si>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</si>
  <si>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</si>
  <si>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</si>
  <si>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</si>
  <si>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</si>
  <si>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</si>
  <si>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</si>
  <si>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</si>
  <si>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</si>
  <si>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</si>
  <si>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</si>
  <si>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</si>
  <si>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</si>
  <si>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</si>
  <si>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</si>
  <si>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</si>
  <si>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</si>
  <si>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</si>
  <si>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</si>
  <si>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</si>
  <si>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</si>
  <si>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</si>
  <si>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</si>
  <si>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</si>
  <si>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</si>
  <si>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</si>
  <si>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</si>
  <si>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</si>
  <si>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</si>
  <si>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</si>
  <si>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</si>
  <si>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</si>
  <si>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</si>
  <si>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</si>
  <si>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</si>
  <si>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</si>
  <si>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</si>
  <si>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</si>
  <si>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</si>
  <si>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</si>
  <si>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</si>
  <si>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</si>
  <si>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</si>
  <si>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</si>
  <si>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</si>
  <si>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</si>
  <si>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</si>
  <si>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</si>
  <si>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</si>
  <si>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</si>
  <si>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</si>
  <si>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</si>
  <si>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</si>
  <si>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</si>
  <si>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</si>
  <si>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</si>
  <si>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</si>
  <si>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</si>
  <si>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</si>
  <si>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</si>
  <si>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</si>
  <si>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</si>
  <si>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</si>
  <si>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</si>
  <si>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</si>
  <si>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</si>
  <si>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</si>
  <si>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</si>
  <si>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</si>
  <si>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</si>
  <si>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</si>
  <si>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</si>
  <si>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</si>
  <si>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</si>
  <si>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</si>
  <si>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</si>
  <si>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</si>
  <si>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</si>
  <si>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</si>
  <si>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</si>
  <si>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</si>
  <si>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</si>
  <si>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</si>
  <si>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</si>
  <si>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</si>
  <si>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</si>
  <si>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</si>
  <si>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</si>
  <si>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</si>
  <si>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</si>
  <si>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</si>
  <si>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</si>
  <si>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</si>
  <si>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</si>
  <si>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</si>
  <si>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</si>
  <si>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</si>
  <si>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</si>
  <si>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</si>
  <si>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</si>
  <si>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</si>
  <si>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</si>
  <si>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</si>
  <si>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</si>
  <si>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</si>
  <si>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</si>
  <si>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</si>
  <si>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</si>
  <si>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</si>
  <si>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</si>
  <si>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</si>
  <si>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</si>
  <si>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</si>
  <si>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</si>
  <si>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</si>
  <si>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</si>
  <si>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</si>
  <si>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</si>
  <si>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</si>
  <si>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</si>
  <si>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</si>
  <si>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</si>
  <si>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</si>
  <si>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</si>
  <si>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</si>
  <si>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</si>
  <si>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</si>
  <si>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</si>
  <si>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</si>
  <si>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</si>
  <si>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</si>
  <si>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</si>
  <si>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</si>
  <si>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</si>
  <si>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</si>
  <si>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</si>
  <si>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</si>
  <si>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</si>
  <si>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</si>
  <si>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</si>
  <si>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</si>
  <si>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</si>
  <si>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</si>
  <si>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</si>
  <si>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</si>
  <si>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</si>
  <si>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</si>
  <si>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</si>
  <si>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</si>
  <si>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</si>
  <si>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</si>
  <si>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</si>
  <si>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</si>
  <si>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</si>
  <si>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</si>
  <si>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</si>
  <si>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</si>
  <si>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</si>
  <si>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</si>
  <si>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</si>
  <si>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</si>
  <si>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</si>
  <si>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</si>
  <si>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</si>
  <si>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</si>
  <si>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</si>
  <si>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</si>
  <si>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</si>
  <si>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</si>
  <si>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</si>
  <si>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</si>
  <si>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</si>
  <si>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</si>
  <si>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</si>
  <si>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</si>
  <si>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</si>
  <si>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</si>
  <si>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</si>
  <si>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</si>
  <si>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</si>
  <si>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</si>
  <si>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</si>
  <si>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</si>
  <si>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</si>
  <si>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</si>
  <si>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</si>
  <si>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</si>
  <si>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</si>
  <si>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</si>
  <si>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</si>
  <si>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</si>
  <si>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</si>
  <si>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</si>
  <si>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</si>
  <si>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</si>
  <si>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</si>
  <si>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</si>
  <si>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</si>
  <si>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</si>
  <si>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</si>
  <si>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</si>
  <si>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</si>
  <si>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</si>
  <si>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</si>
  <si>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</si>
  <si>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</si>
  <si>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</si>
  <si>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</si>
  <si>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</si>
  <si>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</si>
  <si>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</si>
  <si>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</si>
  <si>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</si>
  <si>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</si>
  <si>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</si>
  <si>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</si>
  <si>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</si>
  <si>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</si>
  <si>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</si>
  <si>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</si>
  <si>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</si>
  <si>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</si>
  <si>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</si>
  <si>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</si>
  <si>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</si>
  <si>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</si>
  <si>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</si>
  <si>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</si>
  <si>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</si>
  <si>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</si>
  <si>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</si>
  <si>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</si>
  <si>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</si>
  <si>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</si>
  <si>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</si>
  <si>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</si>
  <si>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</si>
  <si>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</si>
  <si>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</si>
  <si>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</si>
  <si>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</si>
  <si>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</si>
  <si>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</si>
  <si>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</si>
  <si>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</si>
  <si>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</si>
  <si>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</si>
  <si>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</si>
  <si>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</si>
  <si>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</si>
  <si>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</si>
  <si>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</si>
  <si>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</si>
  <si>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</si>
  <si>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</si>
  <si>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</si>
  <si>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</si>
  <si>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</si>
  <si>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</si>
  <si>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</si>
  <si>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</si>
  <si>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</si>
  <si>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</si>
  <si>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</si>
  <si>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</si>
  <si>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</si>
  <si>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</si>
  <si>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</si>
  <si>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</si>
  <si>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</si>
  <si>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</si>
  <si>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</si>
  <si>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</si>
  <si>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</si>
  <si>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</si>
  <si>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</si>
  <si>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</si>
  <si>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</si>
  <si>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</si>
  <si>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</si>
  <si>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</si>
  <si>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</si>
  <si>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</si>
  <si>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</si>
  <si>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</si>
  <si>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</si>
  <si>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</si>
  <si>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</si>
  <si>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</si>
  <si>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</si>
  <si>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</si>
  <si>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</si>
  <si>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</si>
  <si>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</si>
  <si>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</si>
  <si>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</si>
  <si>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</si>
  <si>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</si>
  <si>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</si>
  <si>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</si>
  <si>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</si>
  <si>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</si>
  <si>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</si>
  <si>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</si>
  <si>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</si>
  <si>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</si>
  <si>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</si>
  <si>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</si>
  <si>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</si>
  <si>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</si>
  <si>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</si>
  <si>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</si>
  <si>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</si>
  <si>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</si>
  <si>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</si>
  <si>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</si>
  <si>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</si>
  <si>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</si>
  <si>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</si>
  <si>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</si>
  <si>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</si>
  <si>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</si>
  <si>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</si>
  <si>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</si>
  <si>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</si>
  <si>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</si>
  <si>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</si>
  <si>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</si>
  <si>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</si>
  <si>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</si>
  <si>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</si>
  <si>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</si>
  <si>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</si>
  <si>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</si>
  <si>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</si>
  <si>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</si>
  <si>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</si>
  <si>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</si>
  <si>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</si>
  <si>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</si>
  <si>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</si>
  <si>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</si>
  <si>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</si>
  <si>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</si>
  <si>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</si>
  <si>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</si>
  <si>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</si>
  <si>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</si>
  <si>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</si>
  <si>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</si>
  <si>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</si>
  <si>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</si>
  <si>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</si>
  <si>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</si>
  <si>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</si>
  <si>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</si>
  <si>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</si>
  <si>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</si>
  <si>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</si>
  <si>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</si>
  <si>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</si>
  <si>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</si>
  <si>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</si>
  <si>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</si>
  <si>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</si>
  <si>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</si>
  <si>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</si>
  <si>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</si>
  <si>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</si>
  <si>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</si>
  <si>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</si>
  <si>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</si>
  <si>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</si>
  <si>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</si>
  <si>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</si>
  <si>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</si>
  <si>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</si>
  <si>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</si>
  <si>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</si>
  <si>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</si>
  <si>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</si>
  <si>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</si>
  <si>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</si>
  <si>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 xml:space="preserve"> </t>
  </si>
  <si>
    <t>Total Revenue</t>
  </si>
  <si>
    <t>Average Transaction</t>
  </si>
  <si>
    <t>Highest Transaction</t>
  </si>
  <si>
    <t>Lowest Transaction</t>
  </si>
  <si>
    <t>Values</t>
  </si>
  <si>
    <t>Total Transaction</t>
  </si>
  <si>
    <t>Key Performance Indicators</t>
  </si>
  <si>
    <t>Row Labels</t>
  </si>
  <si>
    <t>Grand Total</t>
  </si>
  <si>
    <t>Sum of Total Amount</t>
  </si>
  <si>
    <t>Sum of Quantity</t>
  </si>
  <si>
    <t>Key Performance Indicator</t>
  </si>
  <si>
    <t xml:space="preserve">   </t>
  </si>
  <si>
    <t xml:space="preserve">  </t>
  </si>
  <si>
    <t>Total Revenue Generated</t>
  </si>
  <si>
    <t>Average Transaction Value</t>
  </si>
  <si>
    <t>Highest Transaction Value</t>
  </si>
  <si>
    <t>Lowest Transaction Value</t>
  </si>
  <si>
    <t>Retail Sales Performance Dashboard</t>
  </si>
  <si>
    <t xml:space="preserve">Total Transaction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</si>
</sst>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_(* #,##0_);_(* \(#,##0\);_(* &quot;-&quot;??_);_(@_)"/>
    <numFmt numFmtId="166" formatCode="&quot;$&quot;#,##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0"/>
      <name val="Aptos Narrow"/>
      <family val="2"/>
      <scheme val="minor"/>
    </font>
    <font>
      <sz val="11"/>
      <color theme="0" tint="-4.9989318521683403E-2"/>
      <name val="Aptos Narrow"/>
      <family val="2"/>
      <scheme val="minor"/>
    </font>
    <font>
      <u/>
      <sz val="11"/>
      <color theme="0"/>
      <name val="Aptos Narrow"/>
      <family val="2"/>
      <scheme val="minor"/>
    </font>
    <font>
      <b/>
      <sz val="24"/>
      <color theme="0" tint="-4.9989318521683403E-2"/>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indexed="64"/>
      </left>
      <right style="thick">
        <color indexed="64"/>
      </right>
      <top style="thick">
        <color indexed="64"/>
      </top>
      <bottom style="thick">
        <color indexed="64"/>
      </bottom>
      <diagonal/>
    </border>
    <border>
      <left style="thick">
        <color theme="0"/>
      </left>
      <right/>
      <top/>
      <bottom/>
      <diagonal/>
    </border>
    <border>
      <left style="thick">
        <color theme="0"/>
      </left>
      <right style="thick">
        <color theme="0"/>
      </right>
      <top/>
      <bottom/>
      <diagonal/>
    </border>
    <border>
      <left/>
      <right/>
      <top/>
      <bottom style="thin">
        <color theme="0"/>
      </bottom>
      <diagonal/>
    </border>
    <border>
      <left style="thin">
        <color theme="0"/>
      </left>
      <right style="thin">
        <color theme="0"/>
      </right>
      <top style="thin">
        <color theme="0"/>
      </top>
      <bottom style="thin">
        <color theme="0"/>
      </bottom>
      <diagonal/>
    </border>
    <border>
      <left/>
      <right/>
      <top style="thin">
        <color theme="0"/>
      </top>
      <bottom/>
      <diagonal/>
    </border>
    <border>
      <left/>
      <right style="thin">
        <color theme="0"/>
      </right>
      <top style="thin">
        <color theme="0"/>
      </top>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ck">
        <color theme="1"/>
      </left>
      <right style="thick">
        <color theme="1"/>
      </right>
      <top style="thick">
        <color theme="1"/>
      </top>
      <bottom style="thick">
        <color theme="1"/>
      </bottom>
      <diagonal/>
    </border>
    <border>
      <left style="hair">
        <color theme="0"/>
      </left>
      <right style="hair">
        <color theme="0"/>
      </right>
      <top style="hair">
        <color theme="0"/>
      </top>
      <bottom/>
      <diagonal/>
    </border>
    <border>
      <left style="thin">
        <color theme="0"/>
      </left>
      <right/>
      <top style="thin">
        <color theme="0"/>
      </top>
      <bottom style="thin">
        <color theme="0"/>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0" borderId="10" xfId="0" applyFont="1" applyBorder="1"/>
    <xf numFmtId="164" fontId="0" fillId="0" borderId="0" xfId="0" applyNumberFormat="1"/>
    <xf numFmtId="0" fontId="0" fillId="0" borderId="10" xfId="0" applyBorder="1"/>
    <xf numFmtId="164" fontId="0" fillId="0" borderId="10" xfId="0" applyNumberFormat="1" applyBorder="1"/>
    <xf numFmtId="165" fontId="0" fillId="0" borderId="10" xfId="1" applyNumberFormat="1" applyFont="1" applyBorder="1"/>
    <xf numFmtId="0" fontId="17" fillId="33" borderId="0" xfId="0" applyFont="1" applyFill="1"/>
    <xf numFmtId="0" fontId="17" fillId="33" borderId="0" xfId="0" applyFont="1" applyFill="1" applyAlignment="1">
      <alignment horizontal="left"/>
    </xf>
    <xf numFmtId="164" fontId="17" fillId="33" borderId="0" xfId="0" applyNumberFormat="1" applyFont="1" applyFill="1"/>
    <xf numFmtId="0" fontId="0" fillId="0" borderId="11" xfId="0" applyBorder="1"/>
    <xf numFmtId="0" fontId="0" fillId="0" borderId="12" xfId="0"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14" xfId="0" applyBorder="1"/>
    <xf numFmtId="0" fontId="20" fillId="0" borderId="19" xfId="0" applyFont="1" applyBorder="1"/>
    <xf numFmtId="0" fontId="0" fillId="0" borderId="21" xfId="0" applyBorder="1"/>
    <xf numFmtId="0" fontId="0" fillId="35" borderId="0" xfId="0" applyFill="1"/>
    <xf numFmtId="0" fontId="20" fillId="35" borderId="0" xfId="0" applyFont="1" applyFill="1"/>
    <xf numFmtId="0" fontId="16" fillId="34" borderId="22" xfId="0" applyFont="1" applyFill="1" applyBorder="1"/>
    <xf numFmtId="165" fontId="16" fillId="34" borderId="22" xfId="1" applyNumberFormat="1" applyFont="1" applyFill="1" applyBorder="1"/>
    <xf numFmtId="166" fontId="16" fillId="34" borderId="22" xfId="0" applyNumberFormat="1" applyFont="1" applyFill="1" applyBorder="1"/>
    <xf numFmtId="0" fontId="0" fillId="0" borderId="24" xfId="0" applyBorder="1"/>
    <xf numFmtId="0" fontId="0" fillId="0" borderId="20" xfId="0" applyBorder="1"/>
    <xf numFmtId="0" fontId="0" fillId="36" borderId="0" xfId="0" applyFill="1"/>
    <xf numFmtId="0" fontId="18" fillId="33" borderId="22" xfId="0" applyFont="1" applyFill="1" applyBorder="1" applyAlignment="1">
      <alignment horizontal="center"/>
    </xf>
    <xf numFmtId="0" fontId="17" fillId="33" borderId="22" xfId="0" applyFont="1" applyFill="1" applyBorder="1" applyAlignment="1">
      <alignment horizontal="center"/>
    </xf>
    <xf numFmtId="0" fontId="21" fillId="33" borderId="23" xfId="0" applyFont="1" applyFill="1" applyBorder="1" applyAlignment="1">
      <alignment horizontal="center"/>
    </xf>
    <xf numFmtId="0" fontId="19" fillId="33" borderId="23" xfId="0"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5">
    <dxf>
      <font>
        <color theme="0"/>
      </font>
    </dxf>
    <dxf>
      <fill>
        <patternFill patternType="solid">
          <bgColor theme="9" tint="-0.499984740745262"/>
        </patternFill>
      </fill>
    </dxf>
    <dxf>
      <font>
        <color theme="0"/>
      </font>
    </dxf>
    <dxf>
      <fill>
        <patternFill patternType="solid">
          <bgColor theme="9" tint="-0.499984740745262"/>
        </patternFill>
      </fill>
    </dxf>
    <dxf>
      <font>
        <color theme="0"/>
      </font>
    </dxf>
    <dxf>
      <fill>
        <patternFill patternType="solid">
          <bgColor theme="9" tint="-0.499984740745262"/>
        </patternFill>
      </fill>
    </dxf>
    <dxf>
      <numFmt numFmtId="164" formatCode="&quot;$&quot;#,##0.00"/>
    </dxf>
    <dxf>
      <fill>
        <patternFill patternType="solid">
          <bgColor theme="9" tint="-0.499984740745262"/>
        </patternFill>
      </fill>
    </dxf>
    <dxf>
      <font>
        <color theme="0"/>
      </font>
    </dxf>
    <dxf>
      <font>
        <color theme="0"/>
      </font>
    </dxf>
    <dxf>
      <fill>
        <patternFill patternType="solid">
          <bgColor theme="9" tint="-0.499984740745262"/>
        </patternFill>
      </fill>
    </dxf>
    <dxf>
      <font>
        <color theme="0"/>
      </font>
    </dxf>
    <dxf>
      <fill>
        <patternFill patternType="solid">
          <bgColor theme="9" tint="-0.499984740745262"/>
        </patternFill>
      </fill>
    </dxf>
    <dxf>
      <font>
        <color theme="0"/>
      </font>
    </dxf>
    <dxf>
      <fill>
        <patternFill patternType="solid">
          <bgColor theme="9" tint="-0.499984740745262"/>
        </patternFill>
      </fill>
    </dxf>
    <dxf>
      <numFmt numFmtId="164" formatCode="&quot;$&quot;#,##0.00"/>
    </dxf>
    <dxf>
      <font>
        <color theme="0"/>
      </font>
    </dxf>
    <dxf>
      <fill>
        <patternFill patternType="solid">
          <bgColor theme="9" tint="-0.499984740745262"/>
        </patternFill>
      </fill>
    </dxf>
    <dxf>
      <font>
        <color theme="0"/>
      </font>
    </dxf>
    <dxf>
      <fill>
        <patternFill patternType="solid">
          <bgColor theme="9" tint="-0.499984740745262"/>
        </patternFill>
      </fill>
    </dxf>
    <dxf>
      <font>
        <color theme="0"/>
      </font>
    </dxf>
    <dxf>
      <fill>
        <patternFill patternType="solid">
          <bgColor theme="9" tint="-0.499984740745262"/>
        </patternFill>
      </fill>
    </dxf>
    <dxf>
      <font>
        <color theme="0"/>
      </font>
    </dxf>
    <dxf>
      <fill>
        <patternFill patternType="solid">
          <bgColor theme="9" tint="-0.499984740745262"/>
        </patternFill>
      </fil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[Retail_Sales_Performance_Dashboard_Lawrence Ruth.xlsx]Pivot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baseline="0">
                <a:solidFill>
                  <a:schemeClr val="bg1"/>
                </a:solidFill>
                <a:latin typeface="Times New Roman" panose="02020603050405020304" pitchFamily="18" charset="0"/>
                <a:cs typeface="Times New Roman" panose="02020603050405020304" pitchFamily="18" charset="0"/>
              </a:rPr>
              <a:t>Units  Sold by Product Category</a:t>
            </a:r>
            <a:endParaRPr lang="en-US" b="1">
              <a:solidFill>
                <a:schemeClr val="bg1"/>
              </a:solidFill>
              <a:latin typeface="Times New Roman" panose="02020603050405020304" pitchFamily="18" charset="0"/>
              <a:cs typeface="Times New Roman" panose="02020603050405020304" pitchFamily="18" charset="0"/>
            </a:endParaRPr>
          </a:p>
        </c:rich>
      </c:tx>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6">
                <a:lumMod val="50000"/>
              </a:schemeClr>
            </a:solidFill>
            <a:ln>
              <a:solidFill>
                <a:schemeClr val="accent6">
                  <a:lumMod val="5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Beauty</c:v>
                </c:pt>
                <c:pt idx="1">
                  <c:v>Clothing</c:v>
                </c:pt>
                <c:pt idx="2">
                  <c:v>Electronics</c:v>
                </c:pt>
              </c:strCache>
            </c:strRef>
          </c:cat>
          <c:val>
            <c:numRef>
              <c:f>'Pivot Table'!$B$4:$B$7</c:f>
              <c:numCache>
                <c:formatCode>"$"#,##0.00</c:formatCode>
                <c:ptCount val="3"/>
                <c:pt idx="0">
                  <c:v>771</c:v>
                </c:pt>
                <c:pt idx="1">
                  <c:v>894</c:v>
                </c:pt>
                <c:pt idx="2">
                  <c:v>849</c:v>
                </c:pt>
              </c:numCache>
            </c:numRef>
          </c:val>
          <c:extLst>
            <c:ext xmlns:c16="http://schemas.microsoft.com/office/drawing/2014/chart" uri="{C3380CC4-5D6E-409C-BE32-E72D297353CC}">
              <c16:uniqueId val="{00000000-0B6C-4593-A569-71795ABBFA59}"/>
            </c:ext>
          </c:extLst>
        </c:ser>
        <c:dLbls>
          <c:dLblPos val="outEnd"/>
          <c:showLegendKey val="0"/>
          <c:showVal val="1"/>
          <c:showCatName val="0"/>
          <c:showSerName val="0"/>
          <c:showPercent val="0"/>
          <c:showBubbleSize val="0"/>
        </c:dLbls>
        <c:gapWidth val="219"/>
        <c:overlap val="-27"/>
        <c:axId val="1554448688"/>
        <c:axId val="1554451568"/>
      </c:barChart>
      <c:catAx>
        <c:axId val="155444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54451568"/>
        <c:crosses val="autoZero"/>
        <c:auto val="1"/>
        <c:lblAlgn val="ctr"/>
        <c:lblOffset val="100"/>
        <c:noMultiLvlLbl val="0"/>
      </c:catAx>
      <c:valAx>
        <c:axId val="15544515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444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[Retail_Sales_Performance_Dashboard_Lawrence Ruth.xlsx]Pivot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Revenue</a:t>
            </a:r>
            <a:r>
              <a:rPr lang="en-US" b="1" baseline="0">
                <a:solidFill>
                  <a:schemeClr val="bg1"/>
                </a:solidFill>
                <a:latin typeface="Times New Roman" panose="02020603050405020304" pitchFamily="18" charset="0"/>
                <a:cs typeface="Times New Roman" panose="02020603050405020304" pitchFamily="18" charset="0"/>
              </a:rPr>
              <a:t> Generated by Product Category</a:t>
            </a:r>
            <a:endParaRPr lang="en-US" b="1">
              <a:solidFill>
                <a:schemeClr val="bg1"/>
              </a:solidFill>
              <a:latin typeface="Times New Roman" panose="02020603050405020304" pitchFamily="18" charset="0"/>
              <a:cs typeface="Times New Roman" panose="02020603050405020304" pitchFamily="18" charset="0"/>
            </a:endParaRPr>
          </a:p>
        </c:rich>
      </c:tx>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50000"/>
            </a:schemeClr>
          </a:solidFill>
          <a:ln>
            <a:noFill/>
          </a:ln>
          <a:effectLst/>
        </c:spPr>
      </c:pivotFmt>
      <c:pivotFmt>
        <c:idx val="5"/>
        <c:spPr>
          <a:solidFill>
            <a:schemeClr val="accent6">
              <a:lumMod val="50000"/>
            </a:schemeClr>
          </a:solidFill>
          <a:ln>
            <a:noFill/>
          </a:ln>
          <a:effectLst/>
        </c:spPr>
      </c:pivotFmt>
    </c:pivotFmts>
    <c:plotArea>
      <c:layout/>
      <c:barChart>
        <c:barDir val="col"/>
        <c:grouping val="clustered"/>
        <c:varyColors val="0"/>
        <c:ser>
          <c:idx val="0"/>
          <c:order val="0"/>
          <c:tx>
            <c:strRef>
              <c:f>'Pivot Table'!$F$3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67F6-4306-804A-E697D6F28DA4}"/>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67F6-4306-804A-E697D6F28DA4}"/>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3-67F6-4306-804A-E697D6F28DA4}"/>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Table'!$E$4:$E$7</c:f>
              <c:strCache>
                <c:ptCount val="3"/>
                <c:pt idx="0">
                  <c:v>Beauty</c:v>
                </c:pt>
                <c:pt idx="1">
                  <c:v>Clothing</c:v>
                </c:pt>
                <c:pt idx="2">
                  <c:v>Electronics</c:v>
                </c:pt>
              </c:strCache>
            </c:strRef>
          </c:cat>
          <c:val>
            <c:numRef>
              <c:f>'Pivot Table'!$F$4:$F$7</c:f>
              <c:numCache>
                <c:formatCode>"$"#,##0.00</c:formatCode>
                <c:ptCount val="3"/>
                <c:pt idx="0">
                  <c:v>143515</c:v>
                </c:pt>
                <c:pt idx="1">
                  <c:v>155580</c:v>
                </c:pt>
                <c:pt idx="2">
                  <c:v>156905</c:v>
                </c:pt>
              </c:numCache>
            </c:numRef>
          </c:val>
          <c:extLst>
            <c:ext xmlns:c16="http://schemas.microsoft.com/office/drawing/2014/chart" uri="{C3380CC4-5D6E-409C-BE32-E72D297353CC}">
              <c16:uniqueId val="{00000000-67F6-4306-804A-E697D6F28DA4}"/>
            </c:ext>
          </c:extLst>
        </c:ser>
        <c:dLbls>
          <c:dLblPos val="outEnd"/>
          <c:showLegendKey val="0"/>
          <c:showVal val="1"/>
          <c:showCatName val="0"/>
          <c:showSerName val="0"/>
          <c:showPercent val="0"/>
          <c:showBubbleSize val="0"/>
        </c:dLbls>
        <c:gapWidth val="219"/>
        <c:overlap val="-27"/>
        <c:axId val="450330944"/>
        <c:axId val="450331424"/>
      </c:barChart>
      <c:catAx>
        <c:axId val="45033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50331424"/>
        <c:crosses val="autoZero"/>
        <c:auto val="1"/>
        <c:lblAlgn val="ctr"/>
        <c:lblOffset val="100"/>
        <c:noMultiLvlLbl val="0"/>
      </c:catAx>
      <c:valAx>
        <c:axId val="450331424"/>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033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[Retail_Sales_Performance_Dashboard_Lawrence Ruth.xlsx]Pivot Table!PivotTable9</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Revenue</a:t>
            </a:r>
            <a:r>
              <a:rPr lang="en-US" b="1" baseline="0">
                <a:solidFill>
                  <a:schemeClr val="bg1"/>
                </a:solidFill>
                <a:latin typeface="Times New Roman" panose="02020603050405020304" pitchFamily="18" charset="0"/>
                <a:cs typeface="Times New Roman" panose="02020603050405020304" pitchFamily="18" charset="0"/>
              </a:rPr>
              <a:t> Generated by Gender</a:t>
            </a:r>
            <a:endParaRPr lang="en-US" b="1">
              <a:solidFill>
                <a:schemeClr val="bg1"/>
              </a:solidFill>
              <a:latin typeface="Times New Roman" panose="02020603050405020304" pitchFamily="18" charset="0"/>
              <a:cs typeface="Times New Roman" panose="02020603050405020304" pitchFamily="18" charset="0"/>
            </a:endParaRPr>
          </a:p>
        </c:rich>
      </c:tx>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6">
                <a:lumMod val="5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Table'!$I$4:$I$6</c:f>
              <c:strCache>
                <c:ptCount val="2"/>
                <c:pt idx="0">
                  <c:v>Female</c:v>
                </c:pt>
                <c:pt idx="1">
                  <c:v>Male</c:v>
                </c:pt>
              </c:strCache>
            </c:strRef>
          </c:cat>
          <c:val>
            <c:numRef>
              <c:f>'Pivot Table'!$J$4:$J$6</c:f>
              <c:numCache>
                <c:formatCode>"$"#,##0.00</c:formatCode>
                <c:ptCount val="2"/>
                <c:pt idx="0">
                  <c:v>232840</c:v>
                </c:pt>
                <c:pt idx="1">
                  <c:v>223160</c:v>
                </c:pt>
              </c:numCache>
            </c:numRef>
          </c:val>
          <c:extLst>
            <c:ext xmlns:c16="http://schemas.microsoft.com/office/drawing/2014/chart" uri="{C3380CC4-5D6E-409C-BE32-E72D297353CC}">
              <c16:uniqueId val="{00000000-BC4C-4D28-80B4-3D0F812A435F}"/>
            </c:ext>
          </c:extLst>
        </c:ser>
        <c:dLbls>
          <c:dLblPos val="outEnd"/>
          <c:showLegendKey val="0"/>
          <c:showVal val="1"/>
          <c:showCatName val="0"/>
          <c:showSerName val="0"/>
          <c:showPercent val="0"/>
          <c:showBubbleSize val="0"/>
        </c:dLbls>
        <c:gapWidth val="219"/>
        <c:overlap val="-27"/>
        <c:axId val="396727264"/>
        <c:axId val="396727744"/>
      </c:barChart>
      <c:catAx>
        <c:axId val="39672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96727744"/>
        <c:crosses val="autoZero"/>
        <c:auto val="1"/>
        <c:lblAlgn val="ctr"/>
        <c:lblOffset val="100"/>
        <c:noMultiLvlLbl val="0"/>
      </c:catAx>
      <c:valAx>
        <c:axId val="396727744"/>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72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53340</xdr:colOff>
      <xdr:row>9</xdr:row>
      <xdr:rowOff>22860</xdr:rowOff>
    </xdr:from>
    <xdr:to>
      <xdr:col>2</xdr:col>
      <xdr:colOff>243840</xdr:colOff>
      <xdr:row>28</xdr:row>
      <xdr:rowOff>22860</xdr:rowOff>
    </xdr:to>
    <xdr:graphicFrame macro="">
      <xdr:nvGraphicFramePr>
        <xdr:cNvPr id="2" name="Chart 1">
          <a:extLst>
            <a:ext uri="{FF2B5EF4-FFF2-40B4-BE49-F238E27FC236}">
              <a16:creationId xmlns:a16="http://schemas.microsoft.com/office/drawing/2014/main" id="{F1322166-73AD-4E5A-BCA5-21C7E7B43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320040</xdr:colOff>
      <xdr:row>9</xdr:row>
      <xdr:rowOff>15240</xdr:rowOff>
    </xdr:from>
    <xdr:to>
      <xdr:col>10</xdr:col>
      <xdr:colOff>167640</xdr:colOff>
      <xdr:row>28</xdr:row>
      <xdr:rowOff>15240</xdr:rowOff>
    </xdr:to>
    <xdr:graphicFrame macro="">
      <xdr:nvGraphicFramePr>
        <xdr:cNvPr id="3" name="Chart 2">
          <a:extLst>
            <a:ext uri="{FF2B5EF4-FFF2-40B4-BE49-F238E27FC236}">
              <a16:creationId xmlns:a16="http://schemas.microsoft.com/office/drawing/2014/main" id="{93324B96-DEB1-4460-AB22-29FDEA383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121920</xdr:colOff>
      <xdr:row>9</xdr:row>
      <xdr:rowOff>44823</xdr:rowOff>
    </xdr:from>
    <xdr:to>
      <xdr:col>17</xdr:col>
      <xdr:colOff>579120</xdr:colOff>
      <xdr:row>28</xdr:row>
      <xdr:rowOff>48946</xdr:rowOff>
    </xdr:to>
    <xdr:graphicFrame macro="">
      <xdr:nvGraphicFramePr>
        <xdr:cNvPr id="5" name="Chart 4">
          <a:extLst>
            <a:ext uri="{FF2B5EF4-FFF2-40B4-BE49-F238E27FC236}">
              <a16:creationId xmlns:a16="http://schemas.microsoft.com/office/drawing/2014/main" id="{DC825C00-4EA6-4497-A65F-A906661AE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2</xdr:row>
      <xdr:rowOff>1</xdr:rowOff>
    </xdr:from>
    <xdr:to>
      <xdr:col>6</xdr:col>
      <xdr:colOff>365760</xdr:colOff>
      <xdr:row>7</xdr:row>
      <xdr:rowOff>153906</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3760DD66-91B4-49E7-828E-4ADB67F6881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536141" y="582707"/>
              <a:ext cx="2194560" cy="1184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2</xdr:row>
      <xdr:rowOff>1</xdr:rowOff>
    </xdr:from>
    <xdr:to>
      <xdr:col>10</xdr:col>
      <xdr:colOff>365760</xdr:colOff>
      <xdr:row>7</xdr:row>
      <xdr:rowOff>153906</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002BB2E0-96F3-45D8-8379-2C04B4B4DC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74541" y="582707"/>
              <a:ext cx="2194560" cy="1184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xdr:row>
      <xdr:rowOff>1</xdr:rowOff>
    </xdr:from>
    <xdr:to>
      <xdr:col>14</xdr:col>
      <xdr:colOff>365760</xdr:colOff>
      <xdr:row>7</xdr:row>
      <xdr:rowOff>153906</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80BD3D7D-C39A-4A36-81BD-F03D4048080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412941" y="582707"/>
              <a:ext cx="2194560" cy="1184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430305</xdr:colOff>
      <xdr:row>1</xdr:row>
      <xdr:rowOff>35858</xdr:rowOff>
    </xdr:from>
    <xdr:to>
      <xdr:col>23</xdr:col>
      <xdr:colOff>25191</xdr:colOff>
      <xdr:row>27</xdr:row>
      <xdr:rowOff>98610</xdr:rowOff>
    </xdr:to>
    <xdr:sp macro="" textlink="">
      <xdr:nvSpPr>
        <xdr:cNvPr id="9" name="Text Box 3">
          <a:extLst>
            <a:ext uri="{FF2B5EF4-FFF2-40B4-BE49-F238E27FC236}">
              <a16:creationId xmlns:a16="http://schemas.microsoft.com/office/drawing/2014/main" id="{1D063F6C-9329-423B-B22B-1A48541EE430}"/>
            </a:ext>
          </a:extLst>
        </xdr:cNvPr>
        <xdr:cNvSpPr txBox="1">
          <a:spLocks noChangeArrowheads="1"/>
        </xdr:cNvSpPr>
      </xdr:nvSpPr>
      <xdr:spPr bwMode="auto">
        <a:xfrm>
          <a:off x="14110446" y="367552"/>
          <a:ext cx="2642886" cy="4894729"/>
        </a:xfrm>
        <a:prstGeom prst="rect">
          <a:avLst/>
        </a:prstGeom>
        <a:solidFill>
          <a:schemeClr val="bg2"/>
        </a:solidFill>
        <a:ln w="9525">
          <a:solidFill>
            <a:srgbClr val="000000"/>
          </a:solidFill>
          <a:miter lim="800000"/>
          <a:headEnd/>
          <a:tailEnd/>
        </a:ln>
      </xdr:spPr>
      <xdr:txBody>
        <a:bodyPr vertOverflow="clip" wrap="square" lIns="27432" tIns="27432" rIns="0" bIns="0" anchor="t" upright="1"/>
        <a:lstStyle/>
        <a:p>
          <a:pPr algn="l" rtl="0">
            <a:defRPr sz="1000"/>
          </a:pPr>
          <a:endParaRPr lang="en-US" sz="1400" b="0" i="0" u="none" strike="noStrike" baseline="0">
            <a:solidFill>
              <a:srgbClr val="000000"/>
            </a:solidFill>
            <a:latin typeface="Aptos Narrow"/>
          </a:endParaRPr>
        </a:p>
        <a:p>
          <a:pPr algn="l" rtl="0">
            <a:defRPr sz="1000"/>
          </a:pPr>
          <a:endParaRPr lang="en-US" sz="1400" b="0" i="0" u="none" strike="noStrike" baseline="0">
            <a:solidFill>
              <a:srgbClr val="000000"/>
            </a:solidFill>
            <a:latin typeface="Aptos Narrow"/>
          </a:endParaRPr>
        </a:p>
        <a:p>
          <a:pPr algn="l" rtl="0">
            <a:defRPr sz="1000"/>
          </a:pPr>
          <a:endParaRPr lang="en-US" sz="1400" b="0" i="0" u="none" strike="noStrike" baseline="0">
            <a:solidFill>
              <a:srgbClr val="000000"/>
            </a:solidFill>
            <a:latin typeface="Aptos Narrow"/>
          </a:endParaRPr>
        </a:p>
        <a:p>
          <a:pPr algn="l" rtl="0">
            <a:defRPr sz="1000"/>
          </a:pPr>
          <a:r>
            <a:rPr lang="en-US" sz="1400" b="1" i="0" u="none" strike="noStrike" baseline="0">
              <a:solidFill>
                <a:srgbClr val="000000"/>
              </a:solidFill>
              <a:latin typeface="Times New Roman" panose="02020603050405020304" pitchFamily="18" charset="0"/>
              <a:cs typeface="Times New Roman" panose="02020603050405020304" pitchFamily="18" charset="0"/>
            </a:rPr>
            <a:t>Clothing</a:t>
          </a:r>
          <a:r>
            <a:rPr lang="en-US" sz="1400" b="1" i="0" u="none" strike="noStrike" baseline="0">
              <a:solidFill>
                <a:srgbClr val="000000"/>
              </a:solidFill>
              <a:latin typeface="Aptos Narrow"/>
            </a:rPr>
            <a:t> </a:t>
          </a:r>
          <a:r>
            <a:rPr lang="en-US" sz="1400" b="1" i="0" u="none" strike="noStrike" baseline="0">
              <a:solidFill>
                <a:srgbClr val="000000"/>
              </a:solidFill>
              <a:latin typeface="Times New Roman" panose="02020603050405020304" pitchFamily="18" charset="0"/>
              <a:cs typeface="Times New Roman" panose="02020603050405020304" pitchFamily="18" charset="0"/>
            </a:rPr>
            <a:t>recorded the highest number of units sold.</a:t>
          </a:r>
        </a:p>
        <a:p>
          <a:pPr algn="l" rtl="0">
            <a:defRPr sz="1000"/>
          </a:pPr>
          <a:endParaRPr lang="en-US" sz="1400" b="1" i="0" u="none" strike="noStrike" baseline="0">
            <a:solidFill>
              <a:srgbClr val="000000"/>
            </a:solidFill>
            <a:latin typeface="Times New Roman" panose="02020603050405020304" pitchFamily="18" charset="0"/>
            <a:cs typeface="Times New Roman" panose="02020603050405020304" pitchFamily="18" charset="0"/>
          </a:endParaRPr>
        </a:p>
        <a:p>
          <a:pPr algn="l" rtl="0">
            <a:defRPr sz="1000"/>
          </a:pPr>
          <a:r>
            <a:rPr lang="en-US" sz="1400" b="1" i="0" u="none" strike="noStrike" baseline="0">
              <a:solidFill>
                <a:srgbClr val="000000"/>
              </a:solidFill>
              <a:latin typeface="Times New Roman" panose="02020603050405020304" pitchFamily="18" charset="0"/>
              <a:cs typeface="Times New Roman" panose="02020603050405020304" pitchFamily="18" charset="0"/>
            </a:rPr>
            <a:t>• Electronics generated the highest total revenue.</a:t>
          </a:r>
        </a:p>
        <a:p>
          <a:pPr algn="l" rtl="0">
            <a:defRPr sz="1000"/>
          </a:pPr>
          <a:endParaRPr lang="en-US" sz="1400" b="1" i="0" u="none" strike="noStrike" baseline="0">
            <a:solidFill>
              <a:srgbClr val="000000"/>
            </a:solidFill>
            <a:latin typeface="Times New Roman" panose="02020603050405020304" pitchFamily="18" charset="0"/>
            <a:cs typeface="Times New Roman" panose="02020603050405020304" pitchFamily="18" charset="0"/>
          </a:endParaRPr>
        </a:p>
        <a:p>
          <a:pPr algn="l" rtl="0">
            <a:defRPr sz="1000"/>
          </a:pPr>
          <a:r>
            <a:rPr lang="en-US" sz="1400" b="1" i="0" u="none" strike="noStrike" baseline="0">
              <a:solidFill>
                <a:srgbClr val="000000"/>
              </a:solidFill>
              <a:latin typeface="Times New Roman" panose="02020603050405020304" pitchFamily="18" charset="0"/>
              <a:cs typeface="Times New Roman" panose="02020603050405020304" pitchFamily="18" charset="0"/>
            </a:rPr>
            <a:t>• Female customers generated slightly more revenue than male customers.</a:t>
          </a:r>
        </a:p>
      </xdr:txBody>
    </xdr:sp>
    <xdr:clientData/>
  </xdr:twoCellAnchor>
  <xdr:twoCellAnchor>
    <xdr:from>
      <xdr:col>19</xdr:col>
      <xdr:colOff>313764</xdr:colOff>
      <xdr:row>1</xdr:row>
      <xdr:rowOff>53788</xdr:rowOff>
    </xdr:from>
    <xdr:to>
      <xdr:col>22</xdr:col>
      <xdr:colOff>206188</xdr:colOff>
      <xdr:row>3</xdr:row>
      <xdr:rowOff>71716</xdr:rowOff>
    </xdr:to>
    <xdr:sp macro="" textlink="">
      <xdr:nvSpPr>
        <xdr:cNvPr id="13" name="Rectangle 12">
          <a:extLst>
            <a:ext uri="{FF2B5EF4-FFF2-40B4-BE49-F238E27FC236}">
              <a16:creationId xmlns:a16="http://schemas.microsoft.com/office/drawing/2014/main" id="{78998923-8931-2A70-E0E0-5260785F6361}"/>
            </a:ext>
          </a:extLst>
        </xdr:cNvPr>
        <xdr:cNvSpPr/>
      </xdr:nvSpPr>
      <xdr:spPr>
        <a:xfrm>
          <a:off x="14603505" y="448235"/>
          <a:ext cx="1721224" cy="448234"/>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US" sz="2000" b="1">
              <a:latin typeface="Times New Roman" panose="02020603050405020304" pitchFamily="18" charset="0"/>
              <a:cs typeface="Times New Roman" panose="02020603050405020304" pitchFamily="18" charset="0"/>
            </a:rPr>
            <a:t>Key  Insights</a:t>
          </a:r>
        </a:p>
      </xdr:txBody>
    </xdr:sp>
    <xdr:clientData/>
  </xdr:twoCellAnchor>
  <xdr:twoCellAnchor>
    <xdr:from>
      <xdr:col>19</xdr:col>
      <xdr:colOff>564775</xdr:colOff>
      <xdr:row>28</xdr:row>
      <xdr:rowOff>125505</xdr:rowOff>
    </xdr:from>
    <xdr:to>
      <xdr:col>22</xdr:col>
      <xdr:colOff>591670</xdr:colOff>
      <xdr:row>30</xdr:row>
      <xdr:rowOff>53788</xdr:rowOff>
    </xdr:to>
    <xdr:sp macro="" textlink="">
      <xdr:nvSpPr>
        <xdr:cNvPr id="14" name="Rectangle 13">
          <a:extLst>
            <a:ext uri="{FF2B5EF4-FFF2-40B4-BE49-F238E27FC236}">
              <a16:creationId xmlns:a16="http://schemas.microsoft.com/office/drawing/2014/main" id="{8D1FD953-5FA0-5E4C-069E-5CDD0C7E17F6}"/>
            </a:ext>
          </a:extLst>
        </xdr:cNvPr>
        <xdr:cNvSpPr/>
      </xdr:nvSpPr>
      <xdr:spPr>
        <a:xfrm>
          <a:off x="14854516" y="5531223"/>
          <a:ext cx="1855695" cy="286871"/>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US" sz="1100" b="1">
              <a:solidFill>
                <a:schemeClr val="bg1"/>
              </a:solidFill>
              <a:effectLst>
                <a:outerShdw blurRad="60007" dist="310007" dir="7680000" sy="30000" kx="1300200" algn="ctr" rotWithShape="0">
                  <a:prstClr val="black">
                    <a:alpha val="32000"/>
                  </a:prstClr>
                </a:outerShdw>
              </a:effectLst>
            </a:rPr>
            <a:t>Prepared by:</a:t>
          </a:r>
          <a:r>
            <a:rPr lang="en-US" sz="1100" b="1" baseline="0">
              <a:solidFill>
                <a:schemeClr val="bg1"/>
              </a:solidFill>
              <a:effectLst>
                <a:outerShdw blurRad="60007" dist="310007" dir="7680000" sy="30000" kx="1300200" algn="ctr" rotWithShape="0">
                  <a:prstClr val="black">
                    <a:alpha val="32000"/>
                  </a:prstClr>
                </a:outerShdw>
              </a:effectLst>
            </a:rPr>
            <a:t> </a:t>
          </a:r>
          <a:r>
            <a:rPr lang="en-US" sz="1100" b="1">
              <a:solidFill>
                <a:schemeClr val="bg1"/>
              </a:solidFill>
              <a:effectLst>
                <a:outerShdw blurRad="60007" dist="310007" dir="7680000" sy="30000" kx="1300200" algn="ctr" rotWithShape="0">
                  <a:prstClr val="black">
                    <a:alpha val="32000"/>
                  </a:prstClr>
                </a:outerShdw>
              </a:effectLst>
            </a:rPr>
            <a:t>Lawrence Ruth</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175260</xdr:colOff>
      <xdr:row>5</xdr:row>
      <xdr:rowOff>53340</xdr:rowOff>
    </xdr:from>
    <xdr:ext cx="184731" cy="264560"/>
    <xdr:sp macro="" textlink="">
      <xdr:nvSpPr>
        <xdr:cNvPr id="2" name="TextBox 1">
          <a:extLst>
            <a:ext uri="{FF2B5EF4-FFF2-40B4-BE49-F238E27FC236}">
              <a16:creationId xmlns:a16="http://schemas.microsoft.com/office/drawing/2014/main" id="{F6126077-74ED-91D5-CC1A-32D80FDADEE2}"/>
            </a:ext>
          </a:extLst>
        </xdr:cNvPr>
        <xdr:cNvSpPr txBox="1"/>
      </xdr:nvSpPr>
      <xdr:spPr>
        <a:xfrm>
          <a:off x="784860" y="967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30480</xdr:colOff>
      <xdr:row>0</xdr:row>
      <xdr:rowOff>45720</xdr:rowOff>
    </xdr:from>
    <xdr:to>
      <xdr:col>13</xdr:col>
      <xdr:colOff>106680</xdr:colOff>
      <xdr:row>102</xdr:row>
      <xdr:rowOff>160020</xdr:rowOff>
    </xdr:to>
    <xdr:sp macro="" textlink="">
      <xdr:nvSpPr>
        <xdr:cNvPr id="5" name="Rectangle 4">
          <a:extLst>
            <a:ext uri="{FF2B5EF4-FFF2-40B4-BE49-F238E27FC236}">
              <a16:creationId xmlns:a16="http://schemas.microsoft.com/office/drawing/2014/main" id="{31797E71-D2F8-CC22-BF06-6CEC3EC10E8E}"/>
            </a:ext>
          </a:extLst>
        </xdr:cNvPr>
        <xdr:cNvSpPr/>
      </xdr:nvSpPr>
      <xdr:spPr>
        <a:xfrm>
          <a:off x="30480" y="45720"/>
          <a:ext cx="8001000" cy="18768060"/>
        </a:xfrm>
        <a:prstGeom prst="rect">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endParaRPr lang="en-US" b="1"/>
        </a:p>
        <a:p>
          <a:endParaRPr lang="en-US" b="1"/>
        </a:p>
        <a:p>
          <a:endParaRPr lang="en-US" b="1"/>
        </a:p>
        <a:p>
          <a:r>
            <a:rPr lang="en-US" sz="1200" b="1">
              <a:latin typeface="Times New Roman" panose="02020603050405020304" pitchFamily="18" charset="0"/>
              <a:cs typeface="Times New Roman" panose="02020603050405020304" pitchFamily="18" charset="0"/>
            </a:rPr>
            <a:t>Portfolio Project 1 – Microsoft Excel</a:t>
          </a:r>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Prepared by:</a:t>
          </a:r>
          <a:r>
            <a:rPr lang="en-US" sz="1200">
              <a:latin typeface="Times New Roman" panose="02020603050405020304" pitchFamily="18" charset="0"/>
              <a:cs typeface="Times New Roman" panose="02020603050405020304" pitchFamily="18" charset="0"/>
            </a:rPr>
            <a:t> Lawrence</a:t>
          </a:r>
          <a:r>
            <a:rPr lang="en-US" sz="1200" baseline="0">
              <a:latin typeface="Times New Roman" panose="02020603050405020304" pitchFamily="18" charset="0"/>
              <a:cs typeface="Times New Roman" panose="02020603050405020304" pitchFamily="18" charset="0"/>
            </a:rPr>
            <a:t> Ruth</a:t>
          </a:r>
          <a:endParaRPr lang="en-US" sz="11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Tools Used:</a:t>
          </a:r>
          <a:r>
            <a:rPr lang="en-US" sz="1200">
              <a:latin typeface="Times New Roman" panose="02020603050405020304" pitchFamily="18" charset="0"/>
              <a:cs typeface="Times New Roman" panose="02020603050405020304" pitchFamily="18" charset="0"/>
            </a:rPr>
            <a:t> </a:t>
          </a:r>
          <a:r>
            <a:rPr lang="en-US" sz="1200" b="0">
              <a:solidFill>
                <a:schemeClr val="tx1"/>
              </a:solidFill>
              <a:latin typeface="Times New Roman" panose="02020603050405020304" pitchFamily="18" charset="0"/>
              <a:cs typeface="Times New Roman" panose="02020603050405020304" pitchFamily="18" charset="0"/>
            </a:rPr>
            <a:t>Microsoft Excel (Formulas, PivotTables, PivotCharts, Slicers, Dashboard)</a:t>
          </a:r>
          <a:endParaRPr lang="en-US" sz="1400" b="0">
            <a:solidFill>
              <a:schemeClr val="tx1"/>
            </a:solidFill>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Dataset Source:</a:t>
          </a:r>
          <a:r>
            <a:rPr lang="en-US" sz="1200">
              <a:latin typeface="Times New Roman" panose="02020603050405020304" pitchFamily="18" charset="0"/>
              <a:cs typeface="Times New Roman" panose="02020603050405020304" pitchFamily="18" charset="0"/>
            </a:rPr>
            <a:t> </a:t>
          </a:r>
          <a:r>
            <a:rPr lang="en-US" sz="1200">
              <a:solidFill>
                <a:schemeClr val="tx1"/>
              </a:solidFill>
              <a:latin typeface="Times New Roman" panose="02020603050405020304" pitchFamily="18" charset="0"/>
              <a:cs typeface="Times New Roman" panose="02020603050405020304" pitchFamily="18" charset="0"/>
            </a:rPr>
            <a:t>Kaggle</a:t>
          </a:r>
          <a:r>
            <a:rPr lang="en-US" sz="1200">
              <a:latin typeface="Times New Roman" panose="02020603050405020304" pitchFamily="18" charset="0"/>
              <a:cs typeface="Times New Roman" panose="02020603050405020304" pitchFamily="18" charset="0"/>
            </a:rPr>
            <a:t> Retail Sales Dataset</a:t>
          </a:r>
        </a:p>
        <a:p>
          <a:r>
            <a:rPr lang="en-US" sz="1200" b="1">
              <a:latin typeface="Times New Roman" panose="02020603050405020304" pitchFamily="18" charset="0"/>
              <a:cs typeface="Times New Roman" panose="02020603050405020304" pitchFamily="18" charset="0"/>
            </a:rPr>
            <a:t>Project Type:</a:t>
          </a:r>
          <a:r>
            <a:rPr lang="en-US" sz="1200">
              <a:latin typeface="Times New Roman" panose="02020603050405020304" pitchFamily="18" charset="0"/>
              <a:cs typeface="Times New Roman" panose="02020603050405020304" pitchFamily="18" charset="0"/>
            </a:rPr>
            <a:t> Sales Performance Analysis &amp; Interactive Dashboard</a:t>
          </a: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This project analyzes a retail sales dataset using Microsoft Excel to uncover key business insights into sales performance, product categories, customer purchasing behavior, and revenue generation.</a:t>
          </a:r>
        </a:p>
        <a:p>
          <a:r>
            <a:rPr lang="en-US" sz="1200">
              <a:latin typeface="Times New Roman" panose="02020603050405020304" pitchFamily="18" charset="0"/>
              <a:cs typeface="Times New Roman" panose="02020603050405020304" pitchFamily="18" charset="0"/>
            </a:rPr>
            <a:t>The dataset was cleaned, explored, and analyzed using Excel formulas, PivotTables, PivotCharts, and an interactive dashboard featuring Key Performance Indicators (KPIs), filters, and visualizations.</a:t>
          </a:r>
        </a:p>
        <a:p>
          <a:r>
            <a:rPr lang="en-US" sz="1200">
              <a:latin typeface="Times New Roman" panose="02020603050405020304" pitchFamily="18" charset="0"/>
              <a:cs typeface="Times New Roman" panose="02020603050405020304" pitchFamily="18" charset="0"/>
            </a:rPr>
            <a:t>The analysis revealed differences between product demand and revenue generation, highlighting that the most frequently purchased product category was not necessarily the most profitable. It also identified revenue patterns across customer demographics to support data-driven business decisions.</a:t>
          </a:r>
        </a:p>
        <a:p>
          <a:endParaRPr lang="en-US" sz="1200">
            <a:latin typeface="Times New Roman" panose="02020603050405020304" pitchFamily="18" charset="0"/>
            <a:cs typeface="Times New Roman" panose="02020603050405020304" pitchFamily="18" charset="0"/>
          </a:endParaRPr>
        </a:p>
        <a:p>
          <a:pPr algn="l"/>
          <a:endParaRPr lang="en-US" sz="1100"/>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The objective of this project was to build an interactive sales dashboard that helps answer key business questions such as:</a:t>
          </a:r>
        </a:p>
        <a:p>
          <a:r>
            <a:rPr lang="en-US" sz="1200">
              <a:latin typeface="Times New Roman" panose="02020603050405020304" pitchFamily="18" charset="0"/>
              <a:cs typeface="Times New Roman" panose="02020603050405020304" pitchFamily="18" charset="0"/>
            </a:rPr>
            <a:t>How much revenue did the business generate? </a:t>
          </a:r>
        </a:p>
        <a:p>
          <a:r>
            <a:rPr lang="en-US" sz="1200">
              <a:latin typeface="Times New Roman" panose="02020603050405020304" pitchFamily="18" charset="0"/>
              <a:cs typeface="Times New Roman" panose="02020603050405020304" pitchFamily="18" charset="0"/>
            </a:rPr>
            <a:t>Which product category generated the highest revenue? </a:t>
          </a:r>
        </a:p>
        <a:p>
          <a:r>
            <a:rPr lang="en-US" sz="1200">
              <a:latin typeface="Times New Roman" panose="02020603050405020304" pitchFamily="18" charset="0"/>
              <a:cs typeface="Times New Roman" panose="02020603050405020304" pitchFamily="18" charset="0"/>
            </a:rPr>
            <a:t>Which product category sold the most units? </a:t>
          </a:r>
        </a:p>
        <a:p>
          <a:r>
            <a:rPr lang="en-US" sz="1200">
              <a:latin typeface="Times New Roman" panose="02020603050405020304" pitchFamily="18" charset="0"/>
              <a:cs typeface="Times New Roman" panose="02020603050405020304" pitchFamily="18" charset="0"/>
            </a:rPr>
            <a:t>Which customer segment generated the highest revenue? </a:t>
          </a:r>
        </a:p>
        <a:p>
          <a:r>
            <a:rPr lang="en-US" sz="1200">
              <a:latin typeface="Times New Roman" panose="02020603050405020304" pitchFamily="18" charset="0"/>
              <a:cs typeface="Times New Roman" panose="02020603050405020304" pitchFamily="18" charset="0"/>
            </a:rPr>
            <a:t>What key performance indicators should management monitor?</a:t>
          </a: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r>
            <a:rPr lang="en-US" sz="1400" b="1"/>
            <a:t>S</a:t>
          </a:r>
          <a:r>
            <a:rPr lang="en-US" sz="1200" b="1"/>
            <a:t>ource</a:t>
          </a:r>
          <a:r>
            <a:rPr lang="en-US" sz="1400" b="1"/>
            <a:t>:</a:t>
          </a:r>
          <a:r>
            <a:rPr lang="en-US" sz="1400"/>
            <a:t> </a:t>
          </a:r>
          <a:r>
            <a:rPr lang="en-US" sz="1200"/>
            <a:t>Kaggle Retail Sales Dataset</a:t>
          </a:r>
        </a:p>
        <a:p>
          <a:r>
            <a:rPr lang="en-US" sz="1200"/>
            <a:t>The dataset contains </a:t>
          </a:r>
          <a:r>
            <a:rPr lang="en-US" sz="1200" b="1"/>
            <a:t>1,000 retail transactions</a:t>
          </a:r>
          <a:r>
            <a:rPr lang="en-US" sz="1200"/>
            <a:t> with the following fields:</a:t>
          </a:r>
        </a:p>
        <a:p>
          <a:pPr algn="l"/>
          <a:endParaRPr lang="en-US" sz="1100"/>
        </a:p>
        <a:p>
          <a:r>
            <a:rPr lang="en-US" sz="1200" b="1">
              <a:latin typeface="Times New Roman" panose="02020603050405020304" pitchFamily="18" charset="0"/>
              <a:cs typeface="Times New Roman" panose="02020603050405020304" pitchFamily="18" charset="0"/>
            </a:rPr>
            <a:t>Field</a:t>
          </a:r>
        </a:p>
        <a:p>
          <a:r>
            <a:rPr lang="en-US" sz="1200">
              <a:latin typeface="Times New Roman" panose="02020603050405020304" pitchFamily="18" charset="0"/>
              <a:cs typeface="Times New Roman" panose="02020603050405020304" pitchFamily="18" charset="0"/>
            </a:rPr>
            <a:t>Transaction ID </a:t>
          </a:r>
        </a:p>
        <a:p>
          <a:r>
            <a:rPr lang="en-US" sz="1200">
              <a:latin typeface="Times New Roman" panose="02020603050405020304" pitchFamily="18" charset="0"/>
              <a:cs typeface="Times New Roman" panose="02020603050405020304" pitchFamily="18" charset="0"/>
            </a:rPr>
            <a:t>Date </a:t>
          </a:r>
        </a:p>
        <a:p>
          <a:r>
            <a:rPr lang="en-US" sz="1200">
              <a:latin typeface="Times New Roman" panose="02020603050405020304" pitchFamily="18" charset="0"/>
              <a:cs typeface="Times New Roman" panose="02020603050405020304" pitchFamily="18" charset="0"/>
            </a:rPr>
            <a:t>Customer ID </a:t>
          </a:r>
        </a:p>
        <a:p>
          <a:r>
            <a:rPr lang="en-US" sz="1200">
              <a:latin typeface="Times New Roman" panose="02020603050405020304" pitchFamily="18" charset="0"/>
              <a:cs typeface="Times New Roman" panose="02020603050405020304" pitchFamily="18" charset="0"/>
            </a:rPr>
            <a:t>Gender </a:t>
          </a:r>
        </a:p>
        <a:p>
          <a:r>
            <a:rPr lang="en-US" sz="1200">
              <a:latin typeface="Times New Roman" panose="02020603050405020304" pitchFamily="18" charset="0"/>
              <a:cs typeface="Times New Roman" panose="02020603050405020304" pitchFamily="18" charset="0"/>
            </a:rPr>
            <a:t>Age </a:t>
          </a:r>
        </a:p>
        <a:p>
          <a:r>
            <a:rPr lang="en-US" sz="1200">
              <a:latin typeface="Times New Roman" panose="02020603050405020304" pitchFamily="18" charset="0"/>
              <a:cs typeface="Times New Roman" panose="02020603050405020304" pitchFamily="18" charset="0"/>
            </a:rPr>
            <a:t>Product Category </a:t>
          </a:r>
        </a:p>
        <a:p>
          <a:r>
            <a:rPr lang="en-US" sz="1200">
              <a:latin typeface="Times New Roman" panose="02020603050405020304" pitchFamily="18" charset="0"/>
              <a:cs typeface="Times New Roman" panose="02020603050405020304" pitchFamily="18" charset="0"/>
            </a:rPr>
            <a:t>Quantity </a:t>
          </a:r>
        </a:p>
        <a:p>
          <a:r>
            <a:rPr lang="en-US" sz="1200">
              <a:latin typeface="Times New Roman" panose="02020603050405020304" pitchFamily="18" charset="0"/>
              <a:cs typeface="Times New Roman" panose="02020603050405020304" pitchFamily="18" charset="0"/>
            </a:rPr>
            <a:t>Price per Unit </a:t>
          </a:r>
        </a:p>
        <a:p>
          <a:r>
            <a:rPr lang="en-US" sz="1200">
              <a:latin typeface="Times New Roman" panose="02020603050405020304" pitchFamily="18" charset="0"/>
              <a:cs typeface="Times New Roman" panose="02020603050405020304" pitchFamily="18" charset="0"/>
            </a:rPr>
            <a:t>Total Amount </a:t>
          </a: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The dataset was cleaned and analyzed entirely using Microsoft Excel.</a:t>
          </a:r>
          <a:endParaRPr lang="en-US">
            <a:latin typeface="Times New Roman" panose="02020603050405020304" pitchFamily="18" charset="0"/>
            <a:cs typeface="Times New Roman" panose="02020603050405020304" pitchFamily="18" charset="0"/>
          </a:endParaRPr>
        </a:p>
        <a:p>
          <a:pPr algn="l"/>
          <a:endParaRPr lang="en-US" sz="1100"/>
        </a:p>
        <a:p>
          <a:pPr algn="l"/>
          <a:endParaRPr lang="en-US" sz="1100"/>
        </a:p>
        <a:p>
          <a:pPr algn="l"/>
          <a:endParaRPr lang="en-US" sz="1100"/>
        </a:p>
        <a:p>
          <a:pPr algn="l"/>
          <a:endParaRPr lang="en-US" sz="1100"/>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The project followed a structured data analysis workflow:</a:t>
          </a:r>
        </a:p>
        <a:p>
          <a:r>
            <a:rPr lang="en-US" sz="1200" b="1">
              <a:latin typeface="Times New Roman" panose="02020603050405020304" pitchFamily="18" charset="0"/>
              <a:cs typeface="Times New Roman" panose="02020603050405020304" pitchFamily="18" charset="0"/>
            </a:rPr>
            <a:t>Stage 1 — Data Exploration</a:t>
          </a:r>
        </a:p>
        <a:p>
          <a:r>
            <a:rPr lang="en-US" sz="1200">
              <a:latin typeface="Times New Roman" panose="02020603050405020304" pitchFamily="18" charset="0"/>
              <a:cs typeface="Times New Roman" panose="02020603050405020304" pitchFamily="18" charset="0"/>
            </a:rPr>
            <a:t>Reviewed dataset structure. </a:t>
          </a:r>
        </a:p>
        <a:p>
          <a:r>
            <a:rPr lang="en-US" sz="1200">
              <a:latin typeface="Times New Roman" panose="02020603050405020304" pitchFamily="18" charset="0"/>
              <a:cs typeface="Times New Roman" panose="02020603050405020304" pitchFamily="18" charset="0"/>
            </a:rPr>
            <a:t>Identified data types. </a:t>
          </a:r>
        </a:p>
        <a:p>
          <a:r>
            <a:rPr lang="en-US" sz="1200">
              <a:latin typeface="Times New Roman" panose="02020603050405020304" pitchFamily="18" charset="0"/>
              <a:cs typeface="Times New Roman" panose="02020603050405020304" pitchFamily="18" charset="0"/>
            </a:rPr>
            <a:t>Examined data quality. </a:t>
          </a:r>
        </a:p>
        <a:p>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Stage 2 — Data Cleaning</a:t>
          </a:r>
        </a:p>
        <a:p>
          <a:r>
            <a:rPr lang="en-US" sz="1200">
              <a:latin typeface="Times New Roman" panose="02020603050405020304" pitchFamily="18" charset="0"/>
              <a:cs typeface="Times New Roman" panose="02020603050405020304" pitchFamily="18" charset="0"/>
            </a:rPr>
            <a:t>Checked for missing values. </a:t>
          </a:r>
        </a:p>
        <a:p>
          <a:r>
            <a:rPr lang="en-US" sz="1200">
              <a:latin typeface="Times New Roman" panose="02020603050405020304" pitchFamily="18" charset="0"/>
              <a:cs typeface="Times New Roman" panose="02020603050405020304" pitchFamily="18" charset="0"/>
            </a:rPr>
            <a:t>Checked for duplicate records. </a:t>
          </a:r>
        </a:p>
        <a:p>
          <a:r>
            <a:rPr lang="en-US" sz="1200">
              <a:latin typeface="Times New Roman" panose="02020603050405020304" pitchFamily="18" charset="0"/>
              <a:cs typeface="Times New Roman" panose="02020603050405020304" pitchFamily="18" charset="0"/>
            </a:rPr>
            <a:t>Verified data consistency. </a:t>
          </a:r>
        </a:p>
        <a:p>
          <a:r>
            <a:rPr lang="en-US" sz="1200">
              <a:latin typeface="Times New Roman" panose="02020603050405020304" pitchFamily="18" charset="0"/>
              <a:cs typeface="Times New Roman" panose="02020603050405020304" pitchFamily="18" charset="0"/>
            </a:rPr>
            <a:t>Confirmed identifier fields. </a:t>
          </a:r>
        </a:p>
        <a:p>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Stage 3 — Sorting &amp; Filtering</a:t>
          </a:r>
        </a:p>
        <a:p>
          <a:r>
            <a:rPr lang="en-US" sz="1200">
              <a:latin typeface="Times New Roman" panose="02020603050405020304" pitchFamily="18" charset="0"/>
              <a:cs typeface="Times New Roman" panose="02020603050405020304" pitchFamily="18" charset="0"/>
            </a:rPr>
            <a:t>Applied:</a:t>
          </a:r>
        </a:p>
        <a:p>
          <a:r>
            <a:rPr lang="en-US" sz="1200">
              <a:latin typeface="Times New Roman" panose="02020603050405020304" pitchFamily="18" charset="0"/>
              <a:cs typeface="Times New Roman" panose="02020603050405020304" pitchFamily="18" charset="0"/>
            </a:rPr>
            <a:t>Single-column sorting </a:t>
          </a:r>
        </a:p>
        <a:p>
          <a:r>
            <a:rPr lang="en-US" sz="1200">
              <a:latin typeface="Times New Roman" panose="02020603050405020304" pitchFamily="18" charset="0"/>
              <a:cs typeface="Times New Roman" panose="02020603050405020304" pitchFamily="18" charset="0"/>
            </a:rPr>
            <a:t>Multi-level sorting </a:t>
          </a:r>
        </a:p>
        <a:p>
          <a:r>
            <a:rPr lang="en-US" sz="1200">
              <a:latin typeface="Times New Roman" panose="02020603050405020304" pitchFamily="18" charset="0"/>
              <a:cs typeface="Times New Roman" panose="02020603050405020304" pitchFamily="18" charset="0"/>
            </a:rPr>
            <a:t>Text Filters </a:t>
          </a:r>
        </a:p>
        <a:p>
          <a:r>
            <a:rPr lang="en-US" sz="1200">
              <a:latin typeface="Times New Roman" panose="02020603050405020304" pitchFamily="18" charset="0"/>
              <a:cs typeface="Times New Roman" panose="02020603050405020304" pitchFamily="18" charset="0"/>
            </a:rPr>
            <a:t>Number Filters </a:t>
          </a:r>
        </a:p>
        <a:p>
          <a:r>
            <a:rPr lang="en-US" sz="1200">
              <a:latin typeface="Times New Roman" panose="02020603050405020304" pitchFamily="18" charset="0"/>
              <a:cs typeface="Times New Roman" panose="02020603050405020304" pitchFamily="18" charset="0"/>
            </a:rPr>
            <a:t>Date Filters </a:t>
          </a:r>
        </a:p>
        <a:p>
          <a:r>
            <a:rPr lang="en-US" sz="1200">
              <a:latin typeface="Times New Roman" panose="02020603050405020304" pitchFamily="18" charset="0"/>
              <a:cs typeface="Times New Roman" panose="02020603050405020304" pitchFamily="18" charset="0"/>
            </a:rPr>
            <a:t>Multiple Filters </a:t>
          </a:r>
        </a:p>
        <a:p>
          <a:r>
            <a:rPr lang="en-US" sz="1200">
              <a:latin typeface="Times New Roman" panose="02020603050405020304" pitchFamily="18" charset="0"/>
              <a:cs typeface="Times New Roman" panose="02020603050405020304" pitchFamily="18" charset="0"/>
            </a:rPr>
            <a:t>to answer business questions efficiently.</a:t>
          </a:r>
          <a:br>
            <a:rPr lang="en-US" sz="1200">
              <a:latin typeface="Times New Roman" panose="02020603050405020304" pitchFamily="18" charset="0"/>
              <a:cs typeface="Times New Roman" panose="02020603050405020304" pitchFamily="18" charset="0"/>
            </a:rPr>
          </a:br>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Stage 4 — Conditional Formatting</a:t>
          </a:r>
        </a:p>
        <a:p>
          <a:r>
            <a:rPr lang="en-US" sz="1200">
              <a:latin typeface="Times New Roman" panose="02020603050405020304" pitchFamily="18" charset="0"/>
              <a:cs typeface="Times New Roman" panose="02020603050405020304" pitchFamily="18" charset="0"/>
            </a:rPr>
            <a:t>Used:</a:t>
          </a:r>
        </a:p>
        <a:p>
          <a:r>
            <a:rPr lang="en-US" sz="1200">
              <a:latin typeface="Times New Roman" panose="02020603050405020304" pitchFamily="18" charset="0"/>
              <a:cs typeface="Times New Roman" panose="02020603050405020304" pitchFamily="18" charset="0"/>
            </a:rPr>
            <a:t>Highlight Cell Rules </a:t>
          </a:r>
        </a:p>
        <a:p>
          <a:r>
            <a:rPr lang="en-US" sz="1200">
              <a:latin typeface="Times New Roman" panose="02020603050405020304" pitchFamily="18" charset="0"/>
              <a:cs typeface="Times New Roman" panose="02020603050405020304" pitchFamily="18" charset="0"/>
            </a:rPr>
            <a:t>Data Bars </a:t>
          </a:r>
        </a:p>
        <a:p>
          <a:r>
            <a:rPr lang="en-US" sz="1200">
              <a:latin typeface="Times New Roman" panose="02020603050405020304" pitchFamily="18" charset="0"/>
              <a:cs typeface="Times New Roman" panose="02020603050405020304" pitchFamily="18" charset="0"/>
            </a:rPr>
            <a:t>Color Scales </a:t>
          </a:r>
        </a:p>
        <a:p>
          <a:r>
            <a:rPr lang="en-US" sz="1200">
              <a:latin typeface="Times New Roman" panose="02020603050405020304" pitchFamily="18" charset="0"/>
              <a:cs typeface="Times New Roman" panose="02020603050405020304" pitchFamily="18" charset="0"/>
            </a:rPr>
            <a:t>Icon Sets </a:t>
          </a:r>
        </a:p>
        <a:p>
          <a:r>
            <a:rPr lang="en-US" sz="1200">
              <a:latin typeface="Times New Roman" panose="02020603050405020304" pitchFamily="18" charset="0"/>
              <a:cs typeface="Times New Roman" panose="02020603050405020304" pitchFamily="18" charset="0"/>
            </a:rPr>
            <a:t>to identify patterns and outliers.</a:t>
          </a:r>
        </a:p>
        <a:p>
          <a:endParaRPr lang="en-US" sz="1200">
            <a:latin typeface="Times New Roman" panose="02020603050405020304" pitchFamily="18" charset="0"/>
            <a:cs typeface="Times New Roman" panose="02020603050405020304" pitchFamily="18" charset="0"/>
          </a:endParaRPr>
        </a:p>
        <a:p>
          <a:r>
            <a:rPr lang="en-US" b="1"/>
            <a:t>Stage 5 — Business Metrics</a:t>
          </a:r>
        </a:p>
        <a:p>
          <a:r>
            <a:rPr lang="en-US"/>
            <a:t>Calculated KPIs using Excel formulas:</a:t>
          </a:r>
        </a:p>
        <a:p>
          <a:r>
            <a:rPr lang="en-US"/>
            <a:t>Total Revenue </a:t>
          </a:r>
        </a:p>
        <a:p>
          <a:r>
            <a:rPr lang="en-US"/>
            <a:t>Total Transactions </a:t>
          </a:r>
        </a:p>
        <a:p>
          <a:r>
            <a:rPr lang="en-US"/>
            <a:t>Average Transaction Value </a:t>
          </a:r>
        </a:p>
        <a:p>
          <a:r>
            <a:rPr lang="en-US"/>
            <a:t>Highest Transaction Value </a:t>
          </a:r>
        </a:p>
        <a:p>
          <a:r>
            <a:rPr lang="en-US"/>
            <a:t>Lowest Transaction Value </a:t>
          </a:r>
        </a:p>
        <a:p>
          <a:endParaRPr lang="en-US"/>
        </a:p>
        <a:p>
          <a:r>
            <a:rPr lang="en-US" b="1"/>
            <a:t>Stage 6 — PivotTables</a:t>
          </a:r>
        </a:p>
        <a:p>
          <a:r>
            <a:rPr lang="en-US"/>
            <a:t>Built PivotTables to summarize:</a:t>
          </a:r>
        </a:p>
        <a:p>
          <a:r>
            <a:rPr lang="en-US"/>
            <a:t>Revenue by Product Category </a:t>
          </a:r>
        </a:p>
        <a:p>
          <a:r>
            <a:rPr lang="en-US"/>
            <a:t>Units Sold by Product Category </a:t>
          </a:r>
        </a:p>
        <a:p>
          <a:r>
            <a:rPr lang="en-US"/>
            <a:t>Revenue by Gender </a:t>
          </a:r>
        </a:p>
        <a:p>
          <a:endParaRPr lang="en-US"/>
        </a:p>
        <a:p>
          <a:r>
            <a:rPr lang="en-US" b="1"/>
            <a:t>Stage 7 — Dashboard Development</a:t>
          </a:r>
        </a:p>
        <a:p>
          <a:r>
            <a:rPr lang="en-US"/>
            <a:t>Created an interactive dashboard featuring:</a:t>
          </a:r>
        </a:p>
        <a:p>
          <a:r>
            <a:rPr lang="en-US"/>
            <a:t>KPI Cards </a:t>
          </a:r>
        </a:p>
        <a:p>
          <a:r>
            <a:rPr lang="en-US"/>
            <a:t>PivotCharts </a:t>
          </a:r>
        </a:p>
        <a:p>
          <a:r>
            <a:rPr lang="en-US"/>
            <a:t>Slicers </a:t>
          </a:r>
        </a:p>
        <a:p>
          <a:r>
            <a:rPr lang="en-US"/>
            <a:t>Business Insights </a:t>
          </a:r>
        </a:p>
        <a:p>
          <a:pPr algn="l"/>
          <a:endParaRPr lang="en-US" sz="1100"/>
        </a:p>
      </xdr:txBody>
    </xdr:sp>
    <xdr:clientData/>
  </xdr:twoCellAnchor>
  <xdr:twoCellAnchor>
    <xdr:from>
      <xdr:col>0</xdr:col>
      <xdr:colOff>45720</xdr:colOff>
      <xdr:row>0</xdr:row>
      <xdr:rowOff>45720</xdr:rowOff>
    </xdr:from>
    <xdr:to>
      <xdr:col>5</xdr:col>
      <xdr:colOff>381000</xdr:colOff>
      <xdr:row>2</xdr:row>
      <xdr:rowOff>53340</xdr:rowOff>
    </xdr:to>
    <xdr:sp macro="" textlink="">
      <xdr:nvSpPr>
        <xdr:cNvPr id="6" name="Rectangle 5">
          <a:extLst>
            <a:ext uri="{FF2B5EF4-FFF2-40B4-BE49-F238E27FC236}">
              <a16:creationId xmlns:a16="http://schemas.microsoft.com/office/drawing/2014/main" id="{5EE246F4-ED02-B47E-CAC8-0CD7AFC25791}"/>
            </a:ext>
          </a:extLst>
        </xdr:cNvPr>
        <xdr:cNvSpPr/>
      </xdr:nvSpPr>
      <xdr:spPr>
        <a:xfrm>
          <a:off x="45720" y="45720"/>
          <a:ext cx="3383280" cy="373380"/>
        </a:xfrm>
        <a:prstGeom prst="rect">
          <a:avLst/>
        </a:prstGeom>
        <a:solidFill>
          <a:schemeClr val="accent6">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US" sz="1600" b="1">
              <a:latin typeface="Times New Roman" panose="02020603050405020304" pitchFamily="18" charset="0"/>
              <a:cs typeface="Times New Roman" panose="02020603050405020304" pitchFamily="18" charset="0"/>
            </a:rPr>
            <a:t>Retail Sales Performance Dashboard</a:t>
          </a:r>
        </a:p>
      </xdr:txBody>
    </xdr:sp>
    <xdr:clientData/>
  </xdr:twoCellAnchor>
  <xdr:twoCellAnchor>
    <xdr:from>
      <xdr:col>0</xdr:col>
      <xdr:colOff>45720</xdr:colOff>
      <xdr:row>9</xdr:row>
      <xdr:rowOff>144780</xdr:rowOff>
    </xdr:from>
    <xdr:to>
      <xdr:col>3</xdr:col>
      <xdr:colOff>114300</xdr:colOff>
      <xdr:row>11</xdr:row>
      <xdr:rowOff>76200</xdr:rowOff>
    </xdr:to>
    <xdr:sp macro="" textlink="">
      <xdr:nvSpPr>
        <xdr:cNvPr id="7" name="Rectangle 6">
          <a:extLst>
            <a:ext uri="{FF2B5EF4-FFF2-40B4-BE49-F238E27FC236}">
              <a16:creationId xmlns:a16="http://schemas.microsoft.com/office/drawing/2014/main" id="{F1F21134-C8B0-ADA1-6E5A-04FA193A8ECA}"/>
            </a:ext>
          </a:extLst>
        </xdr:cNvPr>
        <xdr:cNvSpPr/>
      </xdr:nvSpPr>
      <xdr:spPr>
        <a:xfrm>
          <a:off x="45720" y="1790700"/>
          <a:ext cx="1897380" cy="297180"/>
        </a:xfrm>
        <a:prstGeom prst="rect">
          <a:avLst/>
        </a:prstGeom>
        <a:solidFill>
          <a:schemeClr val="accent6">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Executive Summary</a:t>
          </a:r>
        </a:p>
      </xdr:txBody>
    </xdr:sp>
    <xdr:clientData/>
  </xdr:twoCellAnchor>
  <xdr:twoCellAnchor>
    <xdr:from>
      <xdr:col>0</xdr:col>
      <xdr:colOff>38100</xdr:colOff>
      <xdr:row>20</xdr:row>
      <xdr:rowOff>83820</xdr:rowOff>
    </xdr:from>
    <xdr:to>
      <xdr:col>2</xdr:col>
      <xdr:colOff>449580</xdr:colOff>
      <xdr:row>22</xdr:row>
      <xdr:rowOff>7620</xdr:rowOff>
    </xdr:to>
    <xdr:sp macro="" textlink="">
      <xdr:nvSpPr>
        <xdr:cNvPr id="8" name="Rectangle 7">
          <a:extLst>
            <a:ext uri="{FF2B5EF4-FFF2-40B4-BE49-F238E27FC236}">
              <a16:creationId xmlns:a16="http://schemas.microsoft.com/office/drawing/2014/main" id="{491BE82A-33E5-DA1B-C639-46AE12258146}"/>
            </a:ext>
          </a:extLst>
        </xdr:cNvPr>
        <xdr:cNvSpPr/>
      </xdr:nvSpPr>
      <xdr:spPr>
        <a:xfrm>
          <a:off x="38100" y="3741420"/>
          <a:ext cx="1630680" cy="289560"/>
        </a:xfrm>
        <a:prstGeom prst="rect">
          <a:avLst/>
        </a:prstGeom>
        <a:solidFill>
          <a:schemeClr val="accent6">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US" sz="1600"/>
            <a:t>Project Objective</a:t>
          </a:r>
        </a:p>
      </xdr:txBody>
    </xdr:sp>
    <xdr:clientData/>
  </xdr:twoCellAnchor>
  <xdr:twoCellAnchor>
    <xdr:from>
      <xdr:col>0</xdr:col>
      <xdr:colOff>15240</xdr:colOff>
      <xdr:row>29</xdr:row>
      <xdr:rowOff>175260</xdr:rowOff>
    </xdr:from>
    <xdr:to>
      <xdr:col>3</xdr:col>
      <xdr:colOff>182880</xdr:colOff>
      <xdr:row>31</xdr:row>
      <xdr:rowOff>137160</xdr:rowOff>
    </xdr:to>
    <xdr:sp macro="" textlink="">
      <xdr:nvSpPr>
        <xdr:cNvPr id="9" name="Rectangle 8">
          <a:extLst>
            <a:ext uri="{FF2B5EF4-FFF2-40B4-BE49-F238E27FC236}">
              <a16:creationId xmlns:a16="http://schemas.microsoft.com/office/drawing/2014/main" id="{B501CDBA-E560-2E31-9F55-2042337EB511}"/>
            </a:ext>
          </a:extLst>
        </xdr:cNvPr>
        <xdr:cNvSpPr/>
      </xdr:nvSpPr>
      <xdr:spPr>
        <a:xfrm>
          <a:off x="15240" y="5478780"/>
          <a:ext cx="1996440" cy="32766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Dataset Information</a:t>
          </a:r>
        </a:p>
      </xdr:txBody>
    </xdr:sp>
    <xdr:clientData/>
  </xdr:twoCellAnchor>
  <xdr:twoCellAnchor>
    <xdr:from>
      <xdr:col>3</xdr:col>
      <xdr:colOff>243840</xdr:colOff>
      <xdr:row>34</xdr:row>
      <xdr:rowOff>175260</xdr:rowOff>
    </xdr:from>
    <xdr:to>
      <xdr:col>7</xdr:col>
      <xdr:colOff>449580</xdr:colOff>
      <xdr:row>45</xdr:row>
      <xdr:rowOff>129540</xdr:rowOff>
    </xdr:to>
    <xdr:sp macro="" textlink="">
      <xdr:nvSpPr>
        <xdr:cNvPr id="12" name="Rectangle 11">
          <a:extLst>
            <a:ext uri="{FF2B5EF4-FFF2-40B4-BE49-F238E27FC236}">
              <a16:creationId xmlns:a16="http://schemas.microsoft.com/office/drawing/2014/main" id="{852FBFCE-57CD-5DDD-59D0-A6906591A514}"/>
            </a:ext>
          </a:extLst>
        </xdr:cNvPr>
        <xdr:cNvSpPr/>
      </xdr:nvSpPr>
      <xdr:spPr>
        <a:xfrm>
          <a:off x="2072640" y="6393180"/>
          <a:ext cx="2644140" cy="1965960"/>
        </a:xfrm>
        <a:prstGeom prst="rect">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200" b="1">
              <a:latin typeface="Times New Roman" panose="02020603050405020304" pitchFamily="18" charset="0"/>
              <a:cs typeface="Times New Roman" panose="02020603050405020304" pitchFamily="18" charset="0"/>
            </a:rPr>
            <a:t>Description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Unique identifier for each transaction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Date of purchase</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Unique customer identifier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Customer gender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Customer age</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Product purchased</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Number of units purchased</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Price of one unit</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Total transaction value</a:t>
          </a:r>
        </a:p>
        <a:p>
          <a:pPr algn="l"/>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22860</xdr:colOff>
      <xdr:row>49</xdr:row>
      <xdr:rowOff>107681</xdr:rowOff>
    </xdr:from>
    <xdr:to>
      <xdr:col>3</xdr:col>
      <xdr:colOff>22860</xdr:colOff>
      <xdr:row>51</xdr:row>
      <xdr:rowOff>82974</xdr:rowOff>
    </xdr:to>
    <xdr:sp macro="" textlink="">
      <xdr:nvSpPr>
        <xdr:cNvPr id="21" name="Rectangle 20">
          <a:extLst>
            <a:ext uri="{FF2B5EF4-FFF2-40B4-BE49-F238E27FC236}">
              <a16:creationId xmlns:a16="http://schemas.microsoft.com/office/drawing/2014/main" id="{4B8FBE4A-02A9-BEE8-30C4-1778BCEE36AC}"/>
            </a:ext>
          </a:extLst>
        </xdr:cNvPr>
        <xdr:cNvSpPr/>
      </xdr:nvSpPr>
      <xdr:spPr>
        <a:xfrm>
          <a:off x="22860" y="9159317"/>
          <a:ext cx="1824182" cy="344748"/>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Project Workflow</a:t>
          </a:r>
        </a:p>
      </xdr:txBody>
    </xdr:sp>
    <xdr:clientData/>
  </xdr:twoCellAnchor>
  <xdr:twoCellAnchor>
    <xdr:from>
      <xdr:col>13</xdr:col>
      <xdr:colOff>114300</xdr:colOff>
      <xdr:row>0</xdr:row>
      <xdr:rowOff>30480</xdr:rowOff>
    </xdr:from>
    <xdr:to>
      <xdr:col>23</xdr:col>
      <xdr:colOff>297180</xdr:colOff>
      <xdr:row>102</xdr:row>
      <xdr:rowOff>137160</xdr:rowOff>
    </xdr:to>
    <xdr:sp macro="" textlink="">
      <xdr:nvSpPr>
        <xdr:cNvPr id="22" name="Rectangle 21">
          <a:extLst>
            <a:ext uri="{FF2B5EF4-FFF2-40B4-BE49-F238E27FC236}">
              <a16:creationId xmlns:a16="http://schemas.microsoft.com/office/drawing/2014/main" id="{1CD9D937-6E84-64B8-02D1-90226B29C97B}"/>
            </a:ext>
          </a:extLst>
        </xdr:cNvPr>
        <xdr:cNvSpPr/>
      </xdr:nvSpPr>
      <xdr:spPr>
        <a:xfrm>
          <a:off x="8039100" y="30480"/>
          <a:ext cx="6278880" cy="18760440"/>
        </a:xfrm>
        <a:prstGeom prst="rect">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a:p>
          <a:pPr algn="l"/>
          <a:endParaRPr lang="en-US" sz="1100"/>
        </a:p>
        <a:p>
          <a:pPr algn="l"/>
          <a:endParaRPr lang="en-US" sz="1100"/>
        </a:p>
        <a:p>
          <a:r>
            <a:rPr lang="en-US" sz="1200" b="1">
              <a:latin typeface="Times New Roman" panose="02020603050405020304" pitchFamily="18" charset="0"/>
              <a:cs typeface="Times New Roman" panose="02020603050405020304" pitchFamily="18" charset="0"/>
            </a:rPr>
            <a:t>Key Performance Indicators</a:t>
          </a:r>
        </a:p>
        <a:p>
          <a:r>
            <a:rPr lang="en-US" sz="1200">
              <a:latin typeface="Times New Roman" panose="02020603050405020304" pitchFamily="18" charset="0"/>
              <a:cs typeface="Times New Roman" panose="02020603050405020304" pitchFamily="18" charset="0"/>
            </a:rPr>
            <a:t>Total Revenue </a:t>
          </a:r>
        </a:p>
        <a:p>
          <a:r>
            <a:rPr lang="en-US" sz="1200">
              <a:latin typeface="Times New Roman" panose="02020603050405020304" pitchFamily="18" charset="0"/>
              <a:cs typeface="Times New Roman" panose="02020603050405020304" pitchFamily="18" charset="0"/>
            </a:rPr>
            <a:t>Total Transactions </a:t>
          </a:r>
        </a:p>
        <a:p>
          <a:r>
            <a:rPr lang="en-US" sz="1200">
              <a:latin typeface="Times New Roman" panose="02020603050405020304" pitchFamily="18" charset="0"/>
              <a:cs typeface="Times New Roman" panose="02020603050405020304" pitchFamily="18" charset="0"/>
            </a:rPr>
            <a:t>Average Transaction Value </a:t>
          </a:r>
        </a:p>
        <a:p>
          <a:r>
            <a:rPr lang="en-US" sz="1200">
              <a:latin typeface="Times New Roman" panose="02020603050405020304" pitchFamily="18" charset="0"/>
              <a:cs typeface="Times New Roman" panose="02020603050405020304" pitchFamily="18" charset="0"/>
            </a:rPr>
            <a:t>Highest Transaction Value </a:t>
          </a:r>
        </a:p>
        <a:p>
          <a:r>
            <a:rPr lang="en-US" sz="1200">
              <a:latin typeface="Times New Roman" panose="02020603050405020304" pitchFamily="18" charset="0"/>
              <a:cs typeface="Times New Roman" panose="02020603050405020304" pitchFamily="18" charset="0"/>
            </a:rPr>
            <a:t>Lowest Transaction Value </a:t>
          </a:r>
        </a:p>
        <a:p>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Charts</a:t>
          </a:r>
        </a:p>
        <a:p>
          <a:r>
            <a:rPr lang="en-US" sz="1200">
              <a:latin typeface="Times New Roman" panose="02020603050405020304" pitchFamily="18" charset="0"/>
              <a:cs typeface="Times New Roman" panose="02020603050405020304" pitchFamily="18" charset="0"/>
            </a:rPr>
            <a:t>Units Sold by Product Category </a:t>
          </a:r>
        </a:p>
        <a:p>
          <a:r>
            <a:rPr lang="en-US" sz="1200">
              <a:latin typeface="Times New Roman" panose="02020603050405020304" pitchFamily="18" charset="0"/>
              <a:cs typeface="Times New Roman" panose="02020603050405020304" pitchFamily="18" charset="0"/>
            </a:rPr>
            <a:t>Revenue Generated by Product Category </a:t>
          </a:r>
        </a:p>
        <a:p>
          <a:r>
            <a:rPr lang="en-US" sz="1200">
              <a:latin typeface="Times New Roman" panose="02020603050405020304" pitchFamily="18" charset="0"/>
              <a:cs typeface="Times New Roman" panose="02020603050405020304" pitchFamily="18" charset="0"/>
            </a:rPr>
            <a:t>Revenue Generated by Gender </a:t>
          </a:r>
        </a:p>
        <a:p>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Interactive Filters</a:t>
          </a:r>
        </a:p>
        <a:p>
          <a:r>
            <a:rPr lang="en-US" sz="1200">
              <a:latin typeface="Times New Roman" panose="02020603050405020304" pitchFamily="18" charset="0"/>
              <a:cs typeface="Times New Roman" panose="02020603050405020304" pitchFamily="18" charset="0"/>
            </a:rPr>
            <a:t>Product Category </a:t>
          </a:r>
        </a:p>
        <a:p>
          <a:r>
            <a:rPr lang="en-US" sz="1200">
              <a:latin typeface="Times New Roman" panose="02020603050405020304" pitchFamily="18" charset="0"/>
              <a:cs typeface="Times New Roman" panose="02020603050405020304" pitchFamily="18" charset="0"/>
            </a:rPr>
            <a:t>Gender </a:t>
          </a:r>
        </a:p>
        <a:p>
          <a:r>
            <a:rPr lang="en-US" sz="1200">
              <a:latin typeface="Times New Roman" panose="02020603050405020304" pitchFamily="18" charset="0"/>
              <a:cs typeface="Times New Roman" panose="02020603050405020304" pitchFamily="18" charset="0"/>
            </a:rPr>
            <a:t>Date</a:t>
          </a:r>
        </a:p>
        <a:p>
          <a:pPr algn="l"/>
          <a:endParaRPr lang="en-US" sz="1100"/>
        </a:p>
        <a:p>
          <a:pPr algn="l"/>
          <a:endParaRPr lang="en-US" sz="1100"/>
        </a:p>
        <a:p>
          <a:pPr algn="l"/>
          <a:endParaRPr lang="en-US" sz="1100"/>
        </a:p>
        <a:p>
          <a:pPr algn="l"/>
          <a:endParaRPr lang="en-US" sz="1100"/>
        </a:p>
        <a:p>
          <a:pPr algn="l"/>
          <a:endParaRPr lang="en-US" sz="1100"/>
        </a:p>
        <a:p>
          <a:r>
            <a:rPr lang="en-US" sz="1200">
              <a:latin typeface="Times New Roman" panose="02020603050405020304" pitchFamily="18" charset="0"/>
              <a:cs typeface="Times New Roman" panose="02020603050405020304" pitchFamily="18" charset="0"/>
            </a:rPr>
            <a:t>Based on the analysis:</a:t>
          </a:r>
        </a:p>
        <a:p>
          <a:r>
            <a:rPr lang="en-US" sz="1200">
              <a:latin typeface="Times New Roman" panose="02020603050405020304" pitchFamily="18" charset="0"/>
              <a:cs typeface="Times New Roman" panose="02020603050405020304" pitchFamily="18" charset="0"/>
            </a:rPr>
            <a:t>The business generated </a:t>
          </a:r>
          <a:r>
            <a:rPr lang="en-US" sz="1200" b="1">
              <a:latin typeface="Times New Roman" panose="02020603050405020304" pitchFamily="18" charset="0"/>
              <a:cs typeface="Times New Roman" panose="02020603050405020304" pitchFamily="18" charset="0"/>
            </a:rPr>
            <a:t>$456,000</a:t>
          </a:r>
          <a:r>
            <a:rPr lang="en-US" sz="1200">
              <a:latin typeface="Times New Roman" panose="02020603050405020304" pitchFamily="18" charset="0"/>
              <a:cs typeface="Times New Roman" panose="02020603050405020304" pitchFamily="18" charset="0"/>
            </a:rPr>
            <a:t> in total revenue from </a:t>
          </a:r>
          <a:r>
            <a:rPr lang="en-US" sz="1200" b="1">
              <a:latin typeface="Times New Roman" panose="02020603050405020304" pitchFamily="18" charset="0"/>
              <a:cs typeface="Times New Roman" panose="02020603050405020304" pitchFamily="18" charset="0"/>
            </a:rPr>
            <a:t>1,000 completed transactions</a:t>
          </a:r>
          <a:r>
            <a:rPr lang="en-US" sz="1200">
              <a:latin typeface="Times New Roman" panose="02020603050405020304" pitchFamily="18" charset="0"/>
              <a:cs typeface="Times New Roman" panose="02020603050405020304" pitchFamily="18" charset="0"/>
            </a:rPr>
            <a:t>. </a:t>
          </a:r>
        </a:p>
        <a:p>
          <a:r>
            <a:rPr lang="en-US" sz="1200">
              <a:latin typeface="Times New Roman" panose="02020603050405020304" pitchFamily="18" charset="0"/>
              <a:cs typeface="Times New Roman" panose="02020603050405020304" pitchFamily="18" charset="0"/>
            </a:rPr>
            <a:t>Clothing recorded the highest number of units sold. </a:t>
          </a:r>
        </a:p>
        <a:p>
          <a:r>
            <a:rPr lang="en-US" sz="1200">
              <a:latin typeface="Times New Roman" panose="02020603050405020304" pitchFamily="18" charset="0"/>
              <a:cs typeface="Times New Roman" panose="02020603050405020304" pitchFamily="18" charset="0"/>
            </a:rPr>
            <a:t>Electronics generated the highest total revenue. </a:t>
          </a:r>
        </a:p>
        <a:p>
          <a:r>
            <a:rPr lang="en-US" sz="1200">
              <a:latin typeface="Times New Roman" panose="02020603050405020304" pitchFamily="18" charset="0"/>
              <a:cs typeface="Times New Roman" panose="02020603050405020304" pitchFamily="18" charset="0"/>
            </a:rPr>
            <a:t>Female customers generated slightly more revenue than male customers. </a:t>
          </a:r>
        </a:p>
        <a:p>
          <a:r>
            <a:rPr lang="en-US" sz="1200">
              <a:latin typeface="Times New Roman" panose="02020603050405020304" pitchFamily="18" charset="0"/>
              <a:cs typeface="Times New Roman" panose="02020603050405020304" pitchFamily="18" charset="0"/>
            </a:rPr>
            <a:t>The highest-selling product category was different from the highest-revenue category, indicating that sales volume alone does not determine revenue. </a:t>
          </a:r>
        </a:p>
        <a:p>
          <a:r>
            <a:rPr lang="en-US" sz="1200">
              <a:latin typeface="Times New Roman" panose="02020603050405020304" pitchFamily="18" charset="0"/>
              <a:cs typeface="Times New Roman" panose="02020603050405020304" pitchFamily="18" charset="0"/>
            </a:rPr>
            <a:t>The dashboard allows managers to interactively explore sales trends using slicers.</a:t>
          </a:r>
        </a:p>
        <a:p>
          <a:pPr algn="l"/>
          <a:endParaRPr lang="en-US"/>
        </a:p>
        <a:p>
          <a:pPr algn="l"/>
          <a:endParaRPr lang="en-US"/>
        </a:p>
        <a:p>
          <a:pPr algn="l"/>
          <a:endParaRPr lang="en-US"/>
        </a:p>
        <a:p>
          <a:pPr algn="l"/>
          <a:endParaRPr lang="en-US"/>
        </a:p>
        <a:p>
          <a:pPr algn="l"/>
          <a:endParaRPr lang="en-US"/>
        </a:p>
        <a:p>
          <a:r>
            <a:rPr lang="en-US" sz="1200">
              <a:latin typeface="Times New Roman" panose="02020603050405020304" pitchFamily="18" charset="0"/>
              <a:cs typeface="Times New Roman" panose="02020603050405020304" pitchFamily="18" charset="0"/>
            </a:rPr>
            <a:t>Based on the available analysis:</a:t>
          </a:r>
        </a:p>
        <a:p>
          <a:r>
            <a:rPr lang="en-US" sz="1200">
              <a:latin typeface="Times New Roman" panose="02020603050405020304" pitchFamily="18" charset="0"/>
              <a:cs typeface="Times New Roman" panose="02020603050405020304" pitchFamily="18" charset="0"/>
            </a:rPr>
            <a:t>Continue monitoring Electronics inventory due to its strong revenue performance. </a:t>
          </a:r>
        </a:p>
        <a:p>
          <a:r>
            <a:rPr lang="en-US" sz="1200">
              <a:latin typeface="Times New Roman" panose="02020603050405020304" pitchFamily="18" charset="0"/>
              <a:cs typeface="Times New Roman" panose="02020603050405020304" pitchFamily="18" charset="0"/>
            </a:rPr>
            <a:t>Investigate why Clothing sells the highest number of units but generates less revenue than Electronics. </a:t>
          </a:r>
        </a:p>
        <a:p>
          <a:r>
            <a:rPr lang="en-US" sz="1200">
              <a:latin typeface="Times New Roman" panose="02020603050405020304" pitchFamily="18" charset="0"/>
              <a:cs typeface="Times New Roman" panose="02020603050405020304" pitchFamily="18" charset="0"/>
            </a:rPr>
            <a:t>Analyze pricing, profit margins, and product mix before making strategic decisions. </a:t>
          </a:r>
        </a:p>
        <a:p>
          <a:r>
            <a:rPr lang="en-US" sz="1200">
              <a:latin typeface="Times New Roman" panose="02020603050405020304" pitchFamily="18" charset="0"/>
              <a:cs typeface="Times New Roman" panose="02020603050405020304" pitchFamily="18" charset="0"/>
            </a:rPr>
            <a:t>Explore customer purchasing behavior to identify opportunities for targeted marketing. </a:t>
          </a:r>
        </a:p>
        <a:p>
          <a:r>
            <a:rPr lang="en-US" sz="1200">
              <a:latin typeface="Times New Roman" panose="02020603050405020304" pitchFamily="18" charset="0"/>
              <a:cs typeface="Times New Roman" panose="02020603050405020304" pitchFamily="18" charset="0"/>
            </a:rPr>
            <a:t>Update the dashboard regularly to support ongoing business monitoring.</a:t>
          </a:r>
        </a:p>
        <a:p>
          <a:pPr algn="l"/>
          <a:endParaRPr lang="en-US"/>
        </a:p>
        <a:p>
          <a:pPr algn="l"/>
          <a:endParaRPr lang="en-US"/>
        </a:p>
        <a:p>
          <a:pPr algn="l"/>
          <a:endParaRPr lang="en-US"/>
        </a:p>
        <a:p>
          <a:pPr algn="l"/>
          <a:endParaRPr lang="en-US"/>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This project demonstrates practical experience in:</a:t>
          </a:r>
        </a:p>
        <a:p>
          <a:r>
            <a:rPr lang="en-US" sz="1200" b="1">
              <a:latin typeface="Times New Roman" panose="02020603050405020304" pitchFamily="18" charset="0"/>
              <a:cs typeface="Times New Roman" panose="02020603050405020304" pitchFamily="18" charset="0"/>
            </a:rPr>
            <a:t>Microsoft Excel</a:t>
          </a:r>
        </a:p>
        <a:p>
          <a:r>
            <a:rPr lang="en-US" sz="1200">
              <a:latin typeface="Times New Roman" panose="02020603050405020304" pitchFamily="18" charset="0"/>
              <a:cs typeface="Times New Roman" panose="02020603050405020304" pitchFamily="18" charset="0"/>
            </a:rPr>
            <a:t>Data Cleaning </a:t>
          </a:r>
        </a:p>
        <a:p>
          <a:r>
            <a:rPr lang="en-US" sz="1200">
              <a:latin typeface="Times New Roman" panose="02020603050405020304" pitchFamily="18" charset="0"/>
              <a:cs typeface="Times New Roman" panose="02020603050405020304" pitchFamily="18" charset="0"/>
            </a:rPr>
            <a:t>Data Validation </a:t>
          </a:r>
        </a:p>
        <a:p>
          <a:r>
            <a:rPr lang="en-US" sz="1200">
              <a:latin typeface="Times New Roman" panose="02020603050405020304" pitchFamily="18" charset="0"/>
              <a:cs typeface="Times New Roman" panose="02020603050405020304" pitchFamily="18" charset="0"/>
            </a:rPr>
            <a:t>Sorting </a:t>
          </a:r>
        </a:p>
        <a:p>
          <a:r>
            <a:rPr lang="en-US" sz="1200">
              <a:latin typeface="Times New Roman" panose="02020603050405020304" pitchFamily="18" charset="0"/>
              <a:cs typeface="Times New Roman" panose="02020603050405020304" pitchFamily="18" charset="0"/>
            </a:rPr>
            <a:t>Filtering </a:t>
          </a:r>
        </a:p>
        <a:p>
          <a:r>
            <a:rPr lang="en-US" sz="1200">
              <a:latin typeface="Times New Roman" panose="02020603050405020304" pitchFamily="18" charset="0"/>
              <a:cs typeface="Times New Roman" panose="02020603050405020304" pitchFamily="18" charset="0"/>
            </a:rPr>
            <a:t>Conditional Formatting </a:t>
          </a:r>
        </a:p>
        <a:p>
          <a:r>
            <a:rPr lang="en-US" sz="1200">
              <a:latin typeface="Times New Roman" panose="02020603050405020304" pitchFamily="18" charset="0"/>
              <a:cs typeface="Times New Roman" panose="02020603050405020304" pitchFamily="18" charset="0"/>
            </a:rPr>
            <a:t>Excel Functions </a:t>
          </a:r>
        </a:p>
        <a:p>
          <a:r>
            <a:rPr lang="en-US" sz="1200">
              <a:latin typeface="Times New Roman" panose="02020603050405020304" pitchFamily="18" charset="0"/>
              <a:cs typeface="Times New Roman" panose="02020603050405020304" pitchFamily="18" charset="0"/>
            </a:rPr>
            <a:t>PivotTables </a:t>
          </a:r>
        </a:p>
        <a:p>
          <a:r>
            <a:rPr lang="en-US" sz="1200">
              <a:latin typeface="Times New Roman" panose="02020603050405020304" pitchFamily="18" charset="0"/>
              <a:cs typeface="Times New Roman" panose="02020603050405020304" pitchFamily="18" charset="0"/>
            </a:rPr>
            <a:t>PivotCharts </a:t>
          </a:r>
        </a:p>
        <a:p>
          <a:r>
            <a:rPr lang="en-US" sz="1200">
              <a:latin typeface="Times New Roman" panose="02020603050405020304" pitchFamily="18" charset="0"/>
              <a:cs typeface="Times New Roman" panose="02020603050405020304" pitchFamily="18" charset="0"/>
            </a:rPr>
            <a:t>Slicers </a:t>
          </a:r>
        </a:p>
        <a:p>
          <a:r>
            <a:rPr lang="en-US" sz="1200">
              <a:latin typeface="Times New Roman" panose="02020603050405020304" pitchFamily="18" charset="0"/>
              <a:cs typeface="Times New Roman" panose="02020603050405020304" pitchFamily="18" charset="0"/>
            </a:rPr>
            <a:t>Dashboard Design </a:t>
          </a:r>
        </a:p>
        <a:p>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Data Analytics</a:t>
          </a:r>
        </a:p>
        <a:p>
          <a:r>
            <a:rPr lang="en-US" sz="1200">
              <a:latin typeface="Times New Roman" panose="02020603050405020304" pitchFamily="18" charset="0"/>
              <a:cs typeface="Times New Roman" panose="02020603050405020304" pitchFamily="18" charset="0"/>
            </a:rPr>
            <a:t>Data Exploration </a:t>
          </a:r>
        </a:p>
        <a:p>
          <a:r>
            <a:rPr lang="en-US" sz="1200">
              <a:latin typeface="Times New Roman" panose="02020603050405020304" pitchFamily="18" charset="0"/>
              <a:cs typeface="Times New Roman" panose="02020603050405020304" pitchFamily="18" charset="0"/>
            </a:rPr>
            <a:t>Business Metrics </a:t>
          </a:r>
        </a:p>
        <a:p>
          <a:r>
            <a:rPr lang="en-US" sz="1200">
              <a:latin typeface="Times New Roman" panose="02020603050405020304" pitchFamily="18" charset="0"/>
              <a:cs typeface="Times New Roman" panose="02020603050405020304" pitchFamily="18" charset="0"/>
            </a:rPr>
            <a:t>Data Visualization </a:t>
          </a:r>
        </a:p>
        <a:p>
          <a:r>
            <a:rPr lang="en-US" sz="1200">
              <a:latin typeface="Times New Roman" panose="02020603050405020304" pitchFamily="18" charset="0"/>
              <a:cs typeface="Times New Roman" panose="02020603050405020304" pitchFamily="18" charset="0"/>
            </a:rPr>
            <a:t>Business Analysis </a:t>
          </a:r>
        </a:p>
        <a:p>
          <a:r>
            <a:rPr lang="en-US" sz="1200">
              <a:latin typeface="Times New Roman" panose="02020603050405020304" pitchFamily="18" charset="0"/>
              <a:cs typeface="Times New Roman" panose="02020603050405020304" pitchFamily="18" charset="0"/>
            </a:rPr>
            <a:t>Business Storytelling </a:t>
          </a:r>
        </a:p>
        <a:p>
          <a:r>
            <a:rPr lang="en-US" sz="1200">
              <a:latin typeface="Times New Roman" panose="02020603050405020304" pitchFamily="18" charset="0"/>
              <a:cs typeface="Times New Roman" panose="02020603050405020304" pitchFamily="18" charset="0"/>
            </a:rPr>
            <a:t>Insight Generation </a:t>
          </a:r>
        </a:p>
        <a:p>
          <a:r>
            <a:rPr lang="en-US" sz="1200">
              <a:latin typeface="Times New Roman" panose="02020603050405020304" pitchFamily="18" charset="0"/>
              <a:cs typeface="Times New Roman" panose="02020603050405020304" pitchFamily="18" charset="0"/>
            </a:rPr>
            <a:t>Evidence-Based Decision Making</a:t>
          </a:r>
        </a:p>
        <a:p>
          <a:pPr algn="l"/>
          <a:endParaRPr lang="en-US"/>
        </a:p>
        <a:p>
          <a:pPr algn="l"/>
          <a:endParaRPr lang="en-US"/>
        </a:p>
        <a:p>
          <a:pPr algn="l"/>
          <a:endParaRPr lang="en-US"/>
        </a:p>
        <a:p>
          <a:pPr algn="l"/>
          <a:endParaRPr lang="en-US"/>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This project strengthened my understanding of the complete data analysis workflow—from preparing raw data to presenting business insights in a professional dashboard.</a:t>
          </a:r>
        </a:p>
        <a:p>
          <a:r>
            <a:rPr lang="en-US" sz="1200">
              <a:latin typeface="Times New Roman" panose="02020603050405020304" pitchFamily="18" charset="0"/>
              <a:cs typeface="Times New Roman" panose="02020603050405020304" pitchFamily="18" charset="0"/>
            </a:rPr>
            <a:t>Beyond learning Excel features, I developed the habit of distinguishing between </a:t>
          </a:r>
          <a:r>
            <a:rPr lang="en-US" sz="1200" b="1">
              <a:latin typeface="Times New Roman" panose="02020603050405020304" pitchFamily="18" charset="0"/>
              <a:cs typeface="Times New Roman" panose="02020603050405020304" pitchFamily="18" charset="0"/>
            </a:rPr>
            <a:t>facts supported by the data</a:t>
          </a:r>
          <a:r>
            <a:rPr lang="en-US" sz="1200">
              <a:latin typeface="Times New Roman" panose="02020603050405020304" pitchFamily="18" charset="0"/>
              <a:cs typeface="Times New Roman" panose="02020603050405020304" pitchFamily="18" charset="0"/>
            </a:rPr>
            <a:t> and </a:t>
          </a:r>
          <a:r>
            <a:rPr lang="en-US" sz="1200" b="1">
              <a:latin typeface="Times New Roman" panose="02020603050405020304" pitchFamily="18" charset="0"/>
              <a:cs typeface="Times New Roman" panose="02020603050405020304" pitchFamily="18" charset="0"/>
            </a:rPr>
            <a:t>assumptions that require further analysis</a:t>
          </a:r>
          <a:r>
            <a:rPr lang="en-US" sz="1200">
              <a:latin typeface="Times New Roman" panose="02020603050405020304" pitchFamily="18" charset="0"/>
              <a:cs typeface="Times New Roman" panose="02020603050405020304" pitchFamily="18" charset="0"/>
            </a:rPr>
            <a:t>. This reinforced the importance of evidence-based thinking when communicating analytical findings and business recommendations.</a:t>
          </a: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This project demonstrates how Microsoft Excel can be used to transform raw transactional data into a structured analytical report that supports business decision-making.</a:t>
          </a:r>
        </a:p>
        <a:p>
          <a:r>
            <a:rPr lang="en-US" sz="1200">
              <a:latin typeface="Times New Roman" panose="02020603050405020304" pitchFamily="18" charset="0"/>
              <a:cs typeface="Times New Roman" panose="02020603050405020304" pitchFamily="18" charset="0"/>
            </a:rPr>
            <a:t>The combination of data cleaning, formulas, PivotTables, PivotCharts, KPIs, and interactive visualizations provides decision-makers with a clear view of sales performance while showcasing practical data analysis and dashboard development skills.</a:t>
          </a: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endParaRPr lang="en-US" sz="1200">
            <a:latin typeface="Times New Roman" panose="02020603050405020304" pitchFamily="18" charset="0"/>
            <a:cs typeface="Times New Roman" panose="02020603050405020304" pitchFamily="18" charset="0"/>
          </a:endParaRPr>
        </a:p>
        <a:p>
          <a:pPr algn="l"/>
          <a:endParaRPr lang="en-US"/>
        </a:p>
      </xdr:txBody>
    </xdr:sp>
    <xdr:clientData/>
  </xdr:twoCellAnchor>
  <xdr:twoCellAnchor>
    <xdr:from>
      <xdr:col>13</xdr:col>
      <xdr:colOff>121920</xdr:colOff>
      <xdr:row>0</xdr:row>
      <xdr:rowOff>53340</xdr:rowOff>
    </xdr:from>
    <xdr:to>
      <xdr:col>16</xdr:col>
      <xdr:colOff>510540</xdr:colOff>
      <xdr:row>2</xdr:row>
      <xdr:rowOff>30480</xdr:rowOff>
    </xdr:to>
    <xdr:sp macro="" textlink="">
      <xdr:nvSpPr>
        <xdr:cNvPr id="23" name="Rectangle 22">
          <a:extLst>
            <a:ext uri="{FF2B5EF4-FFF2-40B4-BE49-F238E27FC236}">
              <a16:creationId xmlns:a16="http://schemas.microsoft.com/office/drawing/2014/main" id="{58D6E576-08B4-9291-7E99-17A9BCBECE5B}"/>
            </a:ext>
          </a:extLst>
        </xdr:cNvPr>
        <xdr:cNvSpPr/>
      </xdr:nvSpPr>
      <xdr:spPr>
        <a:xfrm>
          <a:off x="8046720" y="53340"/>
          <a:ext cx="2217420" cy="34290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Dashboard Components</a:t>
          </a:r>
        </a:p>
      </xdr:txBody>
    </xdr:sp>
    <xdr:clientData/>
  </xdr:twoCellAnchor>
  <xdr:twoCellAnchor>
    <xdr:from>
      <xdr:col>13</xdr:col>
      <xdr:colOff>121920</xdr:colOff>
      <xdr:row>20</xdr:row>
      <xdr:rowOff>91440</xdr:rowOff>
    </xdr:from>
    <xdr:to>
      <xdr:col>16</xdr:col>
      <xdr:colOff>411480</xdr:colOff>
      <xdr:row>22</xdr:row>
      <xdr:rowOff>114300</xdr:rowOff>
    </xdr:to>
    <xdr:sp macro="" textlink="">
      <xdr:nvSpPr>
        <xdr:cNvPr id="24" name="Rectangle 23">
          <a:extLst>
            <a:ext uri="{FF2B5EF4-FFF2-40B4-BE49-F238E27FC236}">
              <a16:creationId xmlns:a16="http://schemas.microsoft.com/office/drawing/2014/main" id="{D029B7CB-AEC9-F45B-63F1-6B67AAC41AFA}"/>
            </a:ext>
          </a:extLst>
        </xdr:cNvPr>
        <xdr:cNvSpPr/>
      </xdr:nvSpPr>
      <xdr:spPr>
        <a:xfrm>
          <a:off x="8046720" y="3749040"/>
          <a:ext cx="2118360" cy="388620"/>
        </a:xfrm>
        <a:prstGeom prst="rect">
          <a:avLst/>
        </a:prstGeom>
        <a:solidFill>
          <a:schemeClr val="accent6">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600">
              <a:solidFill>
                <a:schemeClr val="bg1"/>
              </a:solidFill>
              <a:latin typeface="Times New Roman" panose="02020603050405020304" pitchFamily="18" charset="0"/>
              <a:cs typeface="Times New Roman" panose="02020603050405020304" pitchFamily="18" charset="0"/>
            </a:rPr>
            <a:t>Key Business Insights</a:t>
          </a:r>
        </a:p>
      </xdr:txBody>
    </xdr:sp>
    <xdr:clientData/>
  </xdr:twoCellAnchor>
  <xdr:twoCellAnchor>
    <xdr:from>
      <xdr:col>13</xdr:col>
      <xdr:colOff>98906</xdr:colOff>
      <xdr:row>32</xdr:row>
      <xdr:rowOff>130848</xdr:rowOff>
    </xdr:from>
    <xdr:to>
      <xdr:col>17</xdr:col>
      <xdr:colOff>152246</xdr:colOff>
      <xdr:row>34</xdr:row>
      <xdr:rowOff>153709</xdr:rowOff>
    </xdr:to>
    <xdr:sp macro="" textlink="">
      <xdr:nvSpPr>
        <xdr:cNvPr id="25" name="Rectangle 24">
          <a:extLst>
            <a:ext uri="{FF2B5EF4-FFF2-40B4-BE49-F238E27FC236}">
              <a16:creationId xmlns:a16="http://schemas.microsoft.com/office/drawing/2014/main" id="{BBAE29C5-856F-9907-E0FA-E42EA034E2A8}"/>
            </a:ext>
          </a:extLst>
        </xdr:cNvPr>
        <xdr:cNvSpPr/>
      </xdr:nvSpPr>
      <xdr:spPr>
        <a:xfrm>
          <a:off x="8003694" y="6042121"/>
          <a:ext cx="2485582" cy="392315"/>
        </a:xfrm>
        <a:prstGeom prst="rect">
          <a:avLst/>
        </a:prstGeom>
        <a:solidFill>
          <a:schemeClr val="accent6">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Business Recommendations</a:t>
          </a:r>
        </a:p>
      </xdr:txBody>
    </xdr:sp>
    <xdr:clientData/>
  </xdr:twoCellAnchor>
  <xdr:twoCellAnchor>
    <xdr:from>
      <xdr:col>13</xdr:col>
      <xdr:colOff>137314</xdr:colOff>
      <xdr:row>44</xdr:row>
      <xdr:rowOff>76893</xdr:rowOff>
    </xdr:from>
    <xdr:to>
      <xdr:col>16</xdr:col>
      <xdr:colOff>335434</xdr:colOff>
      <xdr:row>45</xdr:row>
      <xdr:rowOff>168333</xdr:rowOff>
    </xdr:to>
    <xdr:sp macro="" textlink="">
      <xdr:nvSpPr>
        <xdr:cNvPr id="26" name="Rectangle 25">
          <a:extLst>
            <a:ext uri="{FF2B5EF4-FFF2-40B4-BE49-F238E27FC236}">
              <a16:creationId xmlns:a16="http://schemas.microsoft.com/office/drawing/2014/main" id="{022A74CB-D726-5525-360A-DA57D20652DE}"/>
            </a:ext>
          </a:extLst>
        </xdr:cNvPr>
        <xdr:cNvSpPr/>
      </xdr:nvSpPr>
      <xdr:spPr>
        <a:xfrm>
          <a:off x="8042102" y="8204893"/>
          <a:ext cx="2022302" cy="276167"/>
        </a:xfrm>
        <a:prstGeom prst="rect">
          <a:avLst/>
        </a:prstGeom>
        <a:solidFill>
          <a:schemeClr val="accent6">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Skills</a:t>
          </a:r>
          <a:r>
            <a:rPr lang="en-US"/>
            <a:t> </a:t>
          </a:r>
          <a:r>
            <a:rPr lang="en-US" sz="1600">
              <a:latin typeface="Times New Roman" panose="02020603050405020304" pitchFamily="18" charset="0"/>
              <a:cs typeface="Times New Roman" panose="02020603050405020304" pitchFamily="18" charset="0"/>
            </a:rPr>
            <a:t>Demonstrated</a:t>
          </a:r>
        </a:p>
      </xdr:txBody>
    </xdr:sp>
    <xdr:clientData/>
  </xdr:twoCellAnchor>
  <xdr:twoCellAnchor>
    <xdr:from>
      <xdr:col>13</xdr:col>
      <xdr:colOff>129617</xdr:colOff>
      <xdr:row>68</xdr:row>
      <xdr:rowOff>144856</xdr:rowOff>
    </xdr:from>
    <xdr:to>
      <xdr:col>16</xdr:col>
      <xdr:colOff>518237</xdr:colOff>
      <xdr:row>70</xdr:row>
      <xdr:rowOff>106757</xdr:rowOff>
    </xdr:to>
    <xdr:sp macro="" textlink="">
      <xdr:nvSpPr>
        <xdr:cNvPr id="27" name="Rectangle 26">
          <a:extLst>
            <a:ext uri="{FF2B5EF4-FFF2-40B4-BE49-F238E27FC236}">
              <a16:creationId xmlns:a16="http://schemas.microsoft.com/office/drawing/2014/main" id="{D4506FFD-5A73-B13D-4B52-81DB65287210}"/>
            </a:ext>
          </a:extLst>
        </xdr:cNvPr>
        <xdr:cNvSpPr/>
      </xdr:nvSpPr>
      <xdr:spPr>
        <a:xfrm>
          <a:off x="8034405" y="12706311"/>
          <a:ext cx="2212802" cy="331355"/>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Key Learning Reflection</a:t>
          </a:r>
        </a:p>
      </xdr:txBody>
    </xdr:sp>
    <xdr:clientData/>
  </xdr:twoCellAnchor>
  <xdr:twoCellAnchor>
    <xdr:from>
      <xdr:col>13</xdr:col>
      <xdr:colOff>137237</xdr:colOff>
      <xdr:row>77</xdr:row>
      <xdr:rowOff>153017</xdr:rowOff>
    </xdr:from>
    <xdr:to>
      <xdr:col>15</xdr:col>
      <xdr:colOff>76277</xdr:colOff>
      <xdr:row>80</xdr:row>
      <xdr:rowOff>36869</xdr:rowOff>
    </xdr:to>
    <xdr:sp macro="" textlink="">
      <xdr:nvSpPr>
        <xdr:cNvPr id="28" name="Rectangle 27">
          <a:extLst>
            <a:ext uri="{FF2B5EF4-FFF2-40B4-BE49-F238E27FC236}">
              <a16:creationId xmlns:a16="http://schemas.microsoft.com/office/drawing/2014/main" id="{19596AAE-91EF-1EEB-A4B1-BAA84341AE98}"/>
            </a:ext>
          </a:extLst>
        </xdr:cNvPr>
        <xdr:cNvSpPr/>
      </xdr:nvSpPr>
      <xdr:spPr>
        <a:xfrm>
          <a:off x="8042025" y="14377017"/>
          <a:ext cx="1155161" cy="438034"/>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Conclusion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631985763888" createdVersion="8" refreshedVersion="8" minRefreshableVersion="3" recordCount="1000" xr:uid="{B16DD482-4099-4978-B4BE-42A277CE8854}">
  <cacheSource type="worksheet">
    <worksheetSource ref="A1:I1001" sheet="retail_sales_dataset"/>
  </cacheSource>
  <cacheFields count="9">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2T00:00:00"/>
        <d v="2023-02-19T00:00:00"/>
        <d v="2023-02-13T00:00:00"/>
        <d v="2023-07-06T00:00:00"/>
        <d v="2023-05-23T00:00:00"/>
        <d v="2023-04-01T00:00:00"/>
        <d v="2023-01-16T00:00:00"/>
        <d v="2023-07-14T00:00:00"/>
        <d v="2023-12-15T00:00:00"/>
        <d v="2023-06-29T00:00:00"/>
        <d v="2023-10-25T00:00:00"/>
        <d v="2023-01-24T00:00:00"/>
        <d v="2023-09-11T00:00:00"/>
        <d v="2023-11-17T00:00:00"/>
        <d v="2023-10-27T00:00:00"/>
        <d v="2023-03-23T00:00:00"/>
        <d v="2023-05-22T00:00:00"/>
        <d v="2023-02-07T00:00:00"/>
        <d v="2023-07-24T00:00:00"/>
        <d v="2023-12-29T00:00:00"/>
        <d v="2023-02-25T00:00:00"/>
        <d v="2023-11-06T00:00:00"/>
        <d v="2023-04-23T00:00:00"/>
        <d v="2024-01-01T00:00:00"/>
        <d v="2023-12-04T00:00:00"/>
        <d v="2023-01-01T00:00:00"/>
        <d v="2023-05-15T00:00:00"/>
        <d v="2023-02-24T00:00:00"/>
        <d v="2023-07-31T00:00:00"/>
        <d v="2023-03-21T00:00:00"/>
        <d v="2023-01-26T00:00:00"/>
        <d v="2023-07-15T00:00:00"/>
        <d v="2023-02-17T00:00:00"/>
        <d v="2023-08-22T00:00:00"/>
        <d v="2023-06-19T00:00:00"/>
        <d v="2023-04-20T00:00:00"/>
        <d v="2023-08-05T00:00:00"/>
        <d v="2023-06-08T00:00:00"/>
        <d v="2023-10-03T00:00:00"/>
        <d v="2023-09-02T00:00:00"/>
        <d v="2023-05-29T00:00:00"/>
        <d v="2023-08-14T00:00:00"/>
        <d v="2023-11-23T00:00:00"/>
        <d v="2023-10-10T00:00:00"/>
        <d v="2023-03-25T00:00:00"/>
        <d v="2023-05-04T00:00:00"/>
        <d v="2023-10-11T00:00:00"/>
        <d v="2023-08-21T00:00:00"/>
        <d v="2023-07-28T00:00:00"/>
        <d v="2023-06-11T00:00:00"/>
        <d v="2023-04-12T00:00:00"/>
        <d v="2023-04-29T00:00:00"/>
        <d v="2023-01-04T00:00:00"/>
        <d v="2023-03-04T00:00:00"/>
        <d v="2023-11-18T00:00:00"/>
        <d v="2023-05-19T00:00:00"/>
        <d v="2023-08-12T00:00:00"/>
        <d v="2023-12-22T00:00:00"/>
        <d v="2023-02-04T00:00:00"/>
        <d v="2023-10-13T00:00:00"/>
        <d v="2023-12-18T00:00:00"/>
        <d v="2023-05-25T00:00:00"/>
        <d v="2023-10-22T00:00:00"/>
        <d v="2023-03-22T00:00:00"/>
        <d v="2023-12-20T00:00:00"/>
        <d v="2023-05-26T00:00:00"/>
        <d v="2023-08-26T00:00:00"/>
        <d v="2023-03-20T00:00:00"/>
        <d v="2023-12-26T00:00:00"/>
        <d v="2023-10-29T00:00:00"/>
        <d v="2023-09-08T00:00:00"/>
        <d v="2023-01-14T00:00:00"/>
        <d v="2023-06-24T00:00:00"/>
        <d v="2023-06-27T00:00:00"/>
        <d v="2023-03-07T00:00:00"/>
        <d v="2023-06-22T00:00:00"/>
        <d v="2023-11-09T00:00:00"/>
        <d v="2023-09-18T00:00:00"/>
        <d v="2023-01-03T00:00:00"/>
        <d v="2023-10-04T00:00:00"/>
        <d v="2023-05-07T00:00:00"/>
        <d v="2023-07-26T00:00:00"/>
        <d v="2023-08-11T00:00:00"/>
        <d v="2023-08-23T00:00:00"/>
        <d v="2023-06-03T00:00:00"/>
        <d v="2023-07-05T00:00:00"/>
        <d v="2023-03-27T00:00:00"/>
        <d v="2023-07-25T00:00:00"/>
        <d v="2023-12-23T00:00:00"/>
        <d v="2023-01-17T00:00:00"/>
        <d v="2023-07-29T00:00:00"/>
        <d v="2023-10-23T00:00:00"/>
        <d v="2023-03-03T00:00:00"/>
        <d v="2023-04-15T00:00:00"/>
        <d v="2023-02-06T00:00:00"/>
        <d v="2023-10-19T00:00:00"/>
        <d v="2023-05-16T00:00:00"/>
        <d v="2023-04-18T00:00:00"/>
        <d v="2023-03-05T00:00:00"/>
        <d v="2023-06-28T00:00:00"/>
        <d v="2023-03-02T00:00:00"/>
        <d v="2023-04-02T00:00:00"/>
        <d v="2023-09-17T00:00:00"/>
        <d v="2023-11-01T00:00:00"/>
        <d v="2023-04-09T00:00:00"/>
        <d v="2023-02-05T00:00:00"/>
        <d v="2023-02-27T00:00:00"/>
        <d v="2023-10-31T00:00:00"/>
        <d v="2023-06-10T00:00:00"/>
        <d v="2023-06-16T00:00:00"/>
        <d v="2023-04-27T00:00:00"/>
        <d v="2023-06-06T00:00:00"/>
        <d v="2023-06-17T00:00:00"/>
        <d v="2023-08-31T00:00:00"/>
        <d v="2023-05-13T00:00:00"/>
        <d v="2023-03-06T00:00:00"/>
        <d v="2023-09-01T00:00:00"/>
        <d v="2023-11-24T00:00:00"/>
        <d v="2023-11-12T00:00:00"/>
        <d v="2023-12-12T00:00:00"/>
        <d v="2023-07-30T00:00:00"/>
        <d v="2023-08-01T00:00:00"/>
        <d v="2023-08-07T00:00:00"/>
        <d v="2023-06-15T00:00:00"/>
        <d v="2023-06-23T00:00:00"/>
        <d v="2023-12-27T00:00:00"/>
        <d v="2023-10-02T00:00:00"/>
        <d v="2023-07-22T00:00:00"/>
        <d v="2023-12-09T00:00:00"/>
        <d v="2023-11-19T00:00:00"/>
        <d v="2023-05-06T00:00:00"/>
        <d v="2023-12-05T00:00:00"/>
        <d v="2023-11-02T00:00:00"/>
        <d v="2023-05-01T00:00:00"/>
        <d v="2023-11-26T00:00:00"/>
        <d v="2023-07-11T00:00:00"/>
        <d v="2023-03-24T00:00:00"/>
        <d v="2023-02-28T00:00:00"/>
        <d v="2023-05-09T00:00:00"/>
        <d v="2023-02-11T00:00:00"/>
        <d v="2023-08-04T00:00:00"/>
        <d v="2023-04-13T00:00:00"/>
        <d v="2023-08-29T00:00:00"/>
        <d v="2023-01-11T00:00:00"/>
        <d v="2023-03-01T00:00:00"/>
        <d v="2023-02-10T00:00:00"/>
        <d v="2023-09-25T00:00:00"/>
        <d v="2023-07-01T00:00:00"/>
        <d v="2023-11-08T00:00:00"/>
        <d v="2023-07-27T00:00:00"/>
        <d v="2023-05-30T00:00:00"/>
        <d v="2023-11-27T00:00:00"/>
        <d v="2023-04-26T00:00:00"/>
        <d v="2023-12-19T00:00:00"/>
        <d v="2023-12-06T00:00:00"/>
        <d v="2023-09-22T00:00:00"/>
        <d v="2023-05-08T00:00:00"/>
        <d v="2023-09-06T00:00:00"/>
        <d v="2023-01-27T00:00:00"/>
        <d v="2023-10-17T00:00:00"/>
        <d v="2023-08-24T00:00:00"/>
        <d v="2023-04-19T00:00:00"/>
        <d v="2023-02-22T00:00:00"/>
        <d v="2023-10-30T00:00:00"/>
        <d v="2023-10-24T00:00:00"/>
        <d v="2023-04-30T00:00:00"/>
        <d v="2023-08-25T00:00:00"/>
        <d v="2023-12-10T00:00:00"/>
        <d v="2023-08-28T00:00:00"/>
        <d v="2023-11-07T00:00:00"/>
        <d v="2023-01-15T00:00:00"/>
        <d v="2023-11-21T00:00:00"/>
        <d v="2023-09-19T00:00:00"/>
        <d v="2023-12-14T00:00:00"/>
        <d v="2023-01-21T00:00:00"/>
        <d v="2023-04-04T00:00:00"/>
        <d v="2023-01-05T00:00:00"/>
        <d v="2023-07-09T00:00:00"/>
        <d v="2023-09-09T00:00:00"/>
        <d v="2023-01-20T00:00:00"/>
        <d v="2023-08-03T00:00:00"/>
        <d v="2023-05-02T00:00:00"/>
        <d v="2023-11-25T00:00:00"/>
        <d v="2023-04-28T00:00:00"/>
        <d v="2023-06-01T00:00:00"/>
        <d v="2023-11-14T00:00:00"/>
        <d v="2023-10-26T00:00:00"/>
        <d v="2023-01-30T00:00:00"/>
        <d v="2023-02-03T00:00:00"/>
        <d v="2023-11-15T00:00:00"/>
        <d v="2023-10-05T00:00:00"/>
        <d v="2023-05-03T00:00:00"/>
        <d v="2023-06-04T00:00:00"/>
        <d v="2023-04-25T00:00:00"/>
        <d v="2023-02-23T00:00:00"/>
        <d v="2023-06-26T00:00:00"/>
        <d v="2023-01-02T00:00:00"/>
        <d v="2023-02-21T00:00:00"/>
        <d v="2023-10-12T00:00:00"/>
        <d v="2023-03-10T00:00:00"/>
        <d v="2023-11-29T00:00:00"/>
        <d v="2023-09-28T00:00:00"/>
        <d v="2023-04-17T00:00:00"/>
        <d v="2023-10-18T00:00:00"/>
        <d v="2023-01-23T00:00:00"/>
        <d v="2023-02-01T00:00:00"/>
        <d v="2023-09-29T00:00:00"/>
        <d v="2023-12-28T00:00:00"/>
        <d v="2023-05-10T00:00:00"/>
        <d v="2023-09-30T00:00:00"/>
        <d v="2023-05-27T00:00:00"/>
        <d v="2023-06-09T00:00:00"/>
        <d v="2023-08-19T00:00:00"/>
        <d v="2023-12-02T00:00:00"/>
        <d v="2023-03-18T00:00:00"/>
        <d v="2023-05-21T00:00:00"/>
        <d v="2023-11-13T00:00:00"/>
        <d v="2023-01-13T00:00:00"/>
        <d v="2023-03-31T00:00:00"/>
        <d v="2023-03-26T00:00:00"/>
        <d v="2023-04-05T00:00:00"/>
        <d v="2023-10-16T00:00:00"/>
        <d v="2023-09-14T00:00:00"/>
        <d v="2023-08-08T00:00:00"/>
        <d v="2023-02-18T00:00:00"/>
        <d v="2023-12-08T00:00:00"/>
        <d v="2023-06-30T00:00:00"/>
        <d v="2023-04-08T00:00:00"/>
        <d v="2023-05-17T00:00:00"/>
        <d v="2023-11-05T00:00:00"/>
        <d v="2023-01-31T00:00:00"/>
        <d v="2023-06-14T00:00:00"/>
        <d v="2023-05-31T00:00:00"/>
        <d v="2023-03-09T00:00:00"/>
        <d v="2023-03-17T00:00:00"/>
        <d v="2023-12-07T00:00:00"/>
        <d v="2023-01-28T00:00:00"/>
        <d v="2023-07-17T00:00:00"/>
        <d v="2023-12-11T00:00:00"/>
        <d v="2023-08-09T00:00:00"/>
        <d v="2023-01-29T00:00:00"/>
        <d v="2023-05-20T00:00:00"/>
        <d v="2023-02-09T00:00:00"/>
        <d v="2023-01-08T00:00:00"/>
        <d v="2023-02-12T00:00:00"/>
        <d v="2023-10-01T00:00:00"/>
        <d v="2023-07-04T00:00:00"/>
        <d v="2023-08-15T00:00:00"/>
        <d v="2023-05-14T00:00:00"/>
        <d v="2023-01-06T00:00:00"/>
        <d v="2023-08-13T00:00:00"/>
        <d v="2023-06-13T00:00:00"/>
        <d v="2023-03-29T00:00:00"/>
        <d v="2023-03-12T00:00:00"/>
        <d v="2023-03-11T00:00:00"/>
        <d v="2023-09-05T00:00:00"/>
        <d v="2023-04-16T00:00:00"/>
        <d v="2023-12-21T00:00:00"/>
        <d v="2023-11-30T00:00:00"/>
        <d v="2023-12-17T00:00:00"/>
        <d v="2023-08-10T00:00:00"/>
        <d v="2023-09-07T00:00:00"/>
        <d v="2023-02-08T00:00:00"/>
        <d v="2023-10-07T00:00:00"/>
        <d v="2023-03-30T00:00:00"/>
        <d v="2023-01-09T00:00:00"/>
        <d v="2023-12-24T00:00:00"/>
        <d v="2023-03-13T00:00:00"/>
        <d v="2023-04-21T00:00:00"/>
        <d v="2023-04-24T00:00:00"/>
        <d v="2023-10-09T00:00:00"/>
        <d v="2023-05-05T00:00:00"/>
        <d v="2023-10-15T00:00:00"/>
        <d v="2023-02-14T00:00:00"/>
        <d v="2023-04-22T00:00:00"/>
        <d v="2023-08-18T00:00:00"/>
        <d v="2023-09-23T00:00:00"/>
        <d v="2023-07-16T00:00:00"/>
        <d v="2023-02-20T00:00:00"/>
        <d v="2023-03-28T00:00:00"/>
        <d v="2023-06-07T00:00:00"/>
        <d v="2023-05-12T00:00:00"/>
        <d v="2023-06-20T00:00:00"/>
        <d v="2023-09-15T00:00:00"/>
        <d v="2023-01-07T00:00:00"/>
        <d v="2023-06-21T00:00:00"/>
        <d v="2023-08-27T00:00:00"/>
        <d v="2023-05-28T00:00:00"/>
        <d v="2023-02-26T00:00:00"/>
        <d v="2023-10-20T00:00:00"/>
        <d v="2023-12-01T00:00:00"/>
        <d v="2023-06-02T00:00:00"/>
        <d v="2023-06-05T00:00:00"/>
        <d v="2023-05-18T00:00:00"/>
        <d v="2023-04-11T00:00:00"/>
        <d v="2023-10-14T00:00:00"/>
        <d v="2023-03-19T00:00:00"/>
        <d v="2023-09-16T00:00:00"/>
        <d v="2023-05-24T00:00:00"/>
        <d v="2023-04-10T00:00:00"/>
        <d v="2023-01-10T00:00:00"/>
        <d v="2023-05-11T00:00:00"/>
        <d v="2023-01-19T00:00:00"/>
        <d v="2023-03-08T00:00:00"/>
        <d v="2023-10-08T00:00:00"/>
        <d v="2023-02-02T00:00:00"/>
        <d v="2023-07-23T00:00:00"/>
        <d v="2023-08-06T00:00:00"/>
        <d v="2023-11-16T00:00:00"/>
        <d v="2023-10-06T00:00:00"/>
        <d v="2023-07-19T00:00:00"/>
        <d v="2023-11-03T00:00:00"/>
        <d v="2023-12-25T00:00:00"/>
        <d v="2023-04-06T00:00:00"/>
        <d v="2023-03-15T00:00:00"/>
        <d v="2023-07-21T00:00:00"/>
        <d v="2023-09-04T00:00:00"/>
        <d v="2023-12-16T00:00:00"/>
        <d v="2023-02-16T00:00:00"/>
        <d v="2023-06-25T00:00:00"/>
        <d v="2023-06-18T00:00:00"/>
        <d v="2023-08-17T00:00:00"/>
        <d v="2023-12-03T00:00:00"/>
        <d v="2023-12-13T00:00:00"/>
        <d v="2023-11-04T00:00:00"/>
        <d v="2023-09-03T00:00:00"/>
        <d v="2023-01-22T00:00:00"/>
        <d v="2023-11-28T00:00:00"/>
        <d v="2023-09-24T00:00:00"/>
        <d v="2023-07-03T00:00:00"/>
        <d v="2023-09-10T00:00:00"/>
        <d v="2023-07-08T00:00:00"/>
        <d v="2023-07-13T00:00:00"/>
        <d v="2023-09-26T00:00:00"/>
        <d v="2023-08-20T00:00:00"/>
        <d v="2023-11-10T00:00:00"/>
        <d v="2023-09-21T00:00:00"/>
        <d v="2023-09-13T00:00:00"/>
        <d v="2023-10-21T00:00:00"/>
        <d v="2023-08-02T00:00:00"/>
        <d v="2023-01-25T00:00:00"/>
        <d v="2023-12-31T00:00:00"/>
        <d v="2023-11-20T00:00:00"/>
        <d v="2023-06-12T00:00:00"/>
        <d v="2023-07-12T00:00:00"/>
      </sharedItems>
    </cacheField>
    <cacheField name="Customer ID" numFmtId="0">
      <sharedItems/>
    </cacheField>
    <cacheField name="Gender" numFmtId="0">
      <sharedItems count="2">
        <s v="Female"/>
        <s v="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s>
  <extLst>
    <ext xmlns:x14="http://schemas.microsoft.com/office/spreadsheetml/2009/9/main" uri="{725AE2AE-9491-48be-B2B4-4EB974FC3084}">
      <x14:pivotCacheDefinition pivotCacheId="511334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74"/>
    <x v="0"/>
    <s v="CUST074"/>
    <x v="0"/>
    <n v="18"/>
    <x v="0"/>
    <n v="4"/>
    <n v="500"/>
    <n v="2000"/>
  </r>
  <r>
    <n v="257"/>
    <x v="1"/>
    <s v="CUST257"/>
    <x v="1"/>
    <n v="19"/>
    <x v="0"/>
    <n v="4"/>
    <n v="500"/>
    <n v="2000"/>
  </r>
  <r>
    <n v="577"/>
    <x v="2"/>
    <s v="CUST577"/>
    <x v="1"/>
    <n v="21"/>
    <x v="0"/>
    <n v="4"/>
    <n v="500"/>
    <n v="2000"/>
  </r>
  <r>
    <n v="447"/>
    <x v="3"/>
    <s v="CUST447"/>
    <x v="1"/>
    <n v="22"/>
    <x v="0"/>
    <n v="4"/>
    <n v="500"/>
    <n v="2000"/>
  </r>
  <r>
    <n v="281"/>
    <x v="4"/>
    <s v="CUST281"/>
    <x v="0"/>
    <n v="29"/>
    <x v="0"/>
    <n v="4"/>
    <n v="500"/>
    <n v="2000"/>
  </r>
  <r>
    <n v="808"/>
    <x v="5"/>
    <s v="CUST808"/>
    <x v="1"/>
    <n v="33"/>
    <x v="0"/>
    <n v="4"/>
    <n v="500"/>
    <n v="2000"/>
  </r>
  <r>
    <n v="743"/>
    <x v="6"/>
    <s v="CUST743"/>
    <x v="0"/>
    <n v="34"/>
    <x v="0"/>
    <n v="4"/>
    <n v="500"/>
    <n v="2000"/>
  </r>
  <r>
    <n v="93"/>
    <x v="7"/>
    <s v="CUST093"/>
    <x v="0"/>
    <n v="35"/>
    <x v="0"/>
    <n v="4"/>
    <n v="500"/>
    <n v="2000"/>
  </r>
  <r>
    <n v="139"/>
    <x v="8"/>
    <s v="CUST139"/>
    <x v="1"/>
    <n v="36"/>
    <x v="0"/>
    <n v="4"/>
    <n v="500"/>
    <n v="2000"/>
  </r>
  <r>
    <n v="480"/>
    <x v="9"/>
    <s v="CUST480"/>
    <x v="0"/>
    <n v="42"/>
    <x v="0"/>
    <n v="4"/>
    <n v="500"/>
    <n v="2000"/>
  </r>
  <r>
    <n v="503"/>
    <x v="10"/>
    <s v="CUST503"/>
    <x v="1"/>
    <n v="45"/>
    <x v="0"/>
    <n v="4"/>
    <n v="500"/>
    <n v="2000"/>
  </r>
  <r>
    <n v="592"/>
    <x v="11"/>
    <s v="CUST592"/>
    <x v="0"/>
    <n v="46"/>
    <x v="0"/>
    <n v="4"/>
    <n v="500"/>
    <n v="2000"/>
  </r>
  <r>
    <n v="832"/>
    <x v="12"/>
    <s v="CUST832"/>
    <x v="1"/>
    <n v="47"/>
    <x v="0"/>
    <n v="4"/>
    <n v="500"/>
    <n v="2000"/>
  </r>
  <r>
    <n v="169"/>
    <x v="13"/>
    <s v="CUST169"/>
    <x v="1"/>
    <n v="18"/>
    <x v="0"/>
    <n v="3"/>
    <n v="500"/>
    <n v="1500"/>
  </r>
  <r>
    <n v="677"/>
    <x v="14"/>
    <s v="CUST677"/>
    <x v="0"/>
    <n v="19"/>
    <x v="0"/>
    <n v="3"/>
    <n v="500"/>
    <n v="1500"/>
  </r>
  <r>
    <n v="636"/>
    <x v="15"/>
    <s v="CUST636"/>
    <x v="0"/>
    <n v="21"/>
    <x v="0"/>
    <n v="3"/>
    <n v="500"/>
    <n v="1500"/>
  </r>
  <r>
    <n v="843"/>
    <x v="16"/>
    <s v="CUST843"/>
    <x v="1"/>
    <n v="21"/>
    <x v="0"/>
    <n v="3"/>
    <n v="500"/>
    <n v="1500"/>
  </r>
  <r>
    <n v="372"/>
    <x v="17"/>
    <s v="CUST372"/>
    <x v="0"/>
    <n v="24"/>
    <x v="0"/>
    <n v="3"/>
    <n v="500"/>
    <n v="1500"/>
  </r>
  <r>
    <n v="213"/>
    <x v="18"/>
    <s v="CUST213"/>
    <x v="1"/>
    <n v="27"/>
    <x v="0"/>
    <n v="3"/>
    <n v="500"/>
    <n v="1500"/>
  </r>
  <r>
    <n v="805"/>
    <x v="19"/>
    <s v="CUST805"/>
    <x v="0"/>
    <n v="30"/>
    <x v="0"/>
    <n v="3"/>
    <n v="500"/>
    <n v="1500"/>
  </r>
  <r>
    <n v="506"/>
    <x v="20"/>
    <s v="CUST506"/>
    <x v="1"/>
    <n v="34"/>
    <x v="0"/>
    <n v="3"/>
    <n v="500"/>
    <n v="1500"/>
  </r>
  <r>
    <n v="193"/>
    <x v="2"/>
    <s v="CUST193"/>
    <x v="1"/>
    <n v="35"/>
    <x v="0"/>
    <n v="3"/>
    <n v="500"/>
    <n v="1500"/>
  </r>
  <r>
    <n v="869"/>
    <x v="10"/>
    <s v="CUST869"/>
    <x v="1"/>
    <n v="37"/>
    <x v="0"/>
    <n v="3"/>
    <n v="500"/>
    <n v="1500"/>
  </r>
  <r>
    <n v="47"/>
    <x v="21"/>
    <s v="CUST047"/>
    <x v="0"/>
    <n v="40"/>
    <x v="0"/>
    <n v="3"/>
    <n v="500"/>
    <n v="1500"/>
  </r>
  <r>
    <n v="693"/>
    <x v="22"/>
    <s v="CUST693"/>
    <x v="1"/>
    <n v="41"/>
    <x v="0"/>
    <n v="3"/>
    <n v="500"/>
    <n v="1500"/>
  </r>
  <r>
    <n v="211"/>
    <x v="23"/>
    <s v="CUST211"/>
    <x v="1"/>
    <n v="42"/>
    <x v="0"/>
    <n v="3"/>
    <n v="500"/>
    <n v="1500"/>
  </r>
  <r>
    <n v="199"/>
    <x v="24"/>
    <s v="CUST199"/>
    <x v="1"/>
    <n v="45"/>
    <x v="0"/>
    <n v="3"/>
    <n v="500"/>
    <n v="1500"/>
  </r>
  <r>
    <n v="522"/>
    <x v="25"/>
    <s v="CUST522"/>
    <x v="1"/>
    <n v="46"/>
    <x v="0"/>
    <n v="3"/>
    <n v="500"/>
    <n v="1500"/>
  </r>
  <r>
    <n v="164"/>
    <x v="26"/>
    <s v="CUST164"/>
    <x v="0"/>
    <n v="47"/>
    <x v="0"/>
    <n v="3"/>
    <n v="500"/>
    <n v="1500"/>
  </r>
  <r>
    <n v="611"/>
    <x v="27"/>
    <s v="CUST611"/>
    <x v="1"/>
    <n v="51"/>
    <x v="0"/>
    <n v="3"/>
    <n v="500"/>
    <n v="1500"/>
  </r>
  <r>
    <n v="463"/>
    <x v="28"/>
    <s v="CUST463"/>
    <x v="0"/>
    <n v="54"/>
    <x v="0"/>
    <n v="3"/>
    <n v="500"/>
    <n v="1500"/>
  </r>
  <r>
    <n v="313"/>
    <x v="29"/>
    <s v="CUST313"/>
    <x v="0"/>
    <n v="55"/>
    <x v="0"/>
    <n v="3"/>
    <n v="500"/>
    <n v="1500"/>
  </r>
  <r>
    <n v="720"/>
    <x v="30"/>
    <s v="CUST720"/>
    <x v="0"/>
    <n v="56"/>
    <x v="0"/>
    <n v="3"/>
    <n v="500"/>
    <n v="1500"/>
  </r>
  <r>
    <n v="144"/>
    <x v="31"/>
    <s v="CUST144"/>
    <x v="0"/>
    <n v="59"/>
    <x v="0"/>
    <n v="3"/>
    <n v="500"/>
    <n v="1500"/>
  </r>
  <r>
    <n v="292"/>
    <x v="32"/>
    <s v="CUST292"/>
    <x v="1"/>
    <n v="20"/>
    <x v="0"/>
    <n v="4"/>
    <n v="300"/>
    <n v="1200"/>
  </r>
  <r>
    <n v="597"/>
    <x v="33"/>
    <s v="CUST597"/>
    <x v="1"/>
    <n v="22"/>
    <x v="0"/>
    <n v="4"/>
    <n v="300"/>
    <n v="1200"/>
  </r>
  <r>
    <n v="669"/>
    <x v="34"/>
    <s v="CUST669"/>
    <x v="1"/>
    <n v="24"/>
    <x v="0"/>
    <n v="4"/>
    <n v="300"/>
    <n v="1200"/>
  </r>
  <r>
    <n v="298"/>
    <x v="35"/>
    <s v="CUST298"/>
    <x v="1"/>
    <n v="27"/>
    <x v="0"/>
    <n v="4"/>
    <n v="300"/>
    <n v="1200"/>
  </r>
  <r>
    <n v="308"/>
    <x v="36"/>
    <s v="CUST308"/>
    <x v="0"/>
    <n v="34"/>
    <x v="0"/>
    <n v="4"/>
    <n v="300"/>
    <n v="1200"/>
  </r>
  <r>
    <n v="614"/>
    <x v="5"/>
    <s v="CUST614"/>
    <x v="0"/>
    <n v="39"/>
    <x v="0"/>
    <n v="4"/>
    <n v="300"/>
    <n v="1200"/>
  </r>
  <r>
    <n v="587"/>
    <x v="37"/>
    <s v="CUST587"/>
    <x v="0"/>
    <n v="40"/>
    <x v="0"/>
    <n v="4"/>
    <n v="300"/>
    <n v="1200"/>
  </r>
  <r>
    <n v="524"/>
    <x v="38"/>
    <s v="CUST524"/>
    <x v="1"/>
    <n v="46"/>
    <x v="0"/>
    <n v="4"/>
    <n v="300"/>
    <n v="1200"/>
  </r>
  <r>
    <n v="682"/>
    <x v="39"/>
    <s v="CUST682"/>
    <x v="1"/>
    <n v="46"/>
    <x v="0"/>
    <n v="4"/>
    <n v="300"/>
    <n v="1200"/>
  </r>
  <r>
    <n v="908"/>
    <x v="19"/>
    <s v="CUST908"/>
    <x v="1"/>
    <n v="46"/>
    <x v="0"/>
    <n v="4"/>
    <n v="300"/>
    <n v="1200"/>
  </r>
  <r>
    <n v="67"/>
    <x v="40"/>
    <s v="CUST067"/>
    <x v="0"/>
    <n v="48"/>
    <x v="0"/>
    <n v="4"/>
    <n v="300"/>
    <n v="1200"/>
  </r>
  <r>
    <n v="648"/>
    <x v="41"/>
    <s v="CUST648"/>
    <x v="1"/>
    <n v="53"/>
    <x v="0"/>
    <n v="4"/>
    <n v="300"/>
    <n v="1200"/>
  </r>
  <r>
    <n v="424"/>
    <x v="42"/>
    <s v="CUST424"/>
    <x v="1"/>
    <n v="57"/>
    <x v="0"/>
    <n v="4"/>
    <n v="300"/>
    <n v="1200"/>
  </r>
  <r>
    <n v="441"/>
    <x v="43"/>
    <s v="CUST441"/>
    <x v="1"/>
    <n v="57"/>
    <x v="0"/>
    <n v="4"/>
    <n v="300"/>
    <n v="1200"/>
  </r>
  <r>
    <n v="461"/>
    <x v="44"/>
    <s v="CUST461"/>
    <x v="0"/>
    <n v="18"/>
    <x v="0"/>
    <n v="2"/>
    <n v="500"/>
    <n v="1000"/>
  </r>
  <r>
    <n v="853"/>
    <x v="45"/>
    <s v="CUST853"/>
    <x v="1"/>
    <n v="21"/>
    <x v="0"/>
    <n v="2"/>
    <n v="500"/>
    <n v="1000"/>
  </r>
  <r>
    <n v="393"/>
    <x v="46"/>
    <s v="CUST393"/>
    <x v="0"/>
    <n v="22"/>
    <x v="0"/>
    <n v="2"/>
    <n v="500"/>
    <n v="1000"/>
  </r>
  <r>
    <n v="880"/>
    <x v="47"/>
    <s v="CUST880"/>
    <x v="1"/>
    <n v="22"/>
    <x v="0"/>
    <n v="2"/>
    <n v="500"/>
    <n v="1000"/>
  </r>
  <r>
    <n v="850"/>
    <x v="48"/>
    <s v="CUST850"/>
    <x v="0"/>
    <n v="26"/>
    <x v="0"/>
    <n v="2"/>
    <n v="500"/>
    <n v="1000"/>
  </r>
  <r>
    <n v="104"/>
    <x v="49"/>
    <s v="CUST104"/>
    <x v="0"/>
    <n v="34"/>
    <x v="0"/>
    <n v="2"/>
    <n v="500"/>
    <n v="1000"/>
  </r>
  <r>
    <n v="589"/>
    <x v="50"/>
    <s v="CUST589"/>
    <x v="0"/>
    <n v="36"/>
    <x v="0"/>
    <n v="2"/>
    <n v="500"/>
    <n v="1000"/>
  </r>
  <r>
    <n v="660"/>
    <x v="51"/>
    <s v="CUST660"/>
    <x v="0"/>
    <n v="38"/>
    <x v="0"/>
    <n v="2"/>
    <n v="500"/>
    <n v="1000"/>
  </r>
  <r>
    <n v="683"/>
    <x v="52"/>
    <s v="CUST683"/>
    <x v="1"/>
    <n v="38"/>
    <x v="0"/>
    <n v="2"/>
    <n v="500"/>
    <n v="1000"/>
  </r>
  <r>
    <n v="621"/>
    <x v="53"/>
    <s v="CUST621"/>
    <x v="0"/>
    <n v="40"/>
    <x v="0"/>
    <n v="2"/>
    <n v="500"/>
    <n v="1000"/>
  </r>
  <r>
    <n v="137"/>
    <x v="54"/>
    <s v="CUST137"/>
    <x v="1"/>
    <n v="46"/>
    <x v="0"/>
    <n v="2"/>
    <n v="500"/>
    <n v="1000"/>
  </r>
  <r>
    <n v="94"/>
    <x v="55"/>
    <s v="CUST094"/>
    <x v="0"/>
    <n v="47"/>
    <x v="0"/>
    <n v="2"/>
    <n v="500"/>
    <n v="1000"/>
  </r>
  <r>
    <n v="816"/>
    <x v="56"/>
    <s v="CUST816"/>
    <x v="1"/>
    <n v="47"/>
    <x v="0"/>
    <n v="2"/>
    <n v="500"/>
    <n v="1000"/>
  </r>
  <r>
    <n v="662"/>
    <x v="57"/>
    <s v="CUST662"/>
    <x v="1"/>
    <n v="48"/>
    <x v="0"/>
    <n v="2"/>
    <n v="500"/>
    <n v="1000"/>
  </r>
  <r>
    <n v="237"/>
    <x v="58"/>
    <s v="CUST237"/>
    <x v="0"/>
    <n v="50"/>
    <x v="0"/>
    <n v="2"/>
    <n v="500"/>
    <n v="1000"/>
  </r>
  <r>
    <n v="97"/>
    <x v="59"/>
    <s v="CUST097"/>
    <x v="0"/>
    <n v="51"/>
    <x v="0"/>
    <n v="2"/>
    <n v="500"/>
    <n v="1000"/>
  </r>
  <r>
    <n v="994"/>
    <x v="60"/>
    <s v="CUST994"/>
    <x v="0"/>
    <n v="51"/>
    <x v="0"/>
    <n v="2"/>
    <n v="500"/>
    <n v="1000"/>
  </r>
  <r>
    <n v="990"/>
    <x v="61"/>
    <s v="CUST990"/>
    <x v="0"/>
    <n v="58"/>
    <x v="0"/>
    <n v="2"/>
    <n v="500"/>
    <n v="1000"/>
  </r>
  <r>
    <n v="600"/>
    <x v="62"/>
    <s v="CUST600"/>
    <x v="0"/>
    <n v="59"/>
    <x v="0"/>
    <n v="2"/>
    <n v="500"/>
    <n v="1000"/>
  </r>
  <r>
    <n v="161"/>
    <x v="63"/>
    <s v="CUST161"/>
    <x v="1"/>
    <n v="64"/>
    <x v="0"/>
    <n v="2"/>
    <n v="500"/>
    <n v="1000"/>
  </r>
  <r>
    <n v="722"/>
    <x v="7"/>
    <s v="CUST722"/>
    <x v="1"/>
    <n v="20"/>
    <x v="0"/>
    <n v="3"/>
    <n v="300"/>
    <n v="900"/>
  </r>
  <r>
    <n v="295"/>
    <x v="48"/>
    <s v="CUST295"/>
    <x v="0"/>
    <n v="27"/>
    <x v="0"/>
    <n v="3"/>
    <n v="300"/>
    <n v="900"/>
  </r>
  <r>
    <n v="323"/>
    <x v="30"/>
    <s v="CUST323"/>
    <x v="0"/>
    <n v="29"/>
    <x v="0"/>
    <n v="3"/>
    <n v="300"/>
    <n v="900"/>
  </r>
  <r>
    <n v="435"/>
    <x v="64"/>
    <s v="CUST435"/>
    <x v="0"/>
    <n v="30"/>
    <x v="0"/>
    <n v="3"/>
    <n v="300"/>
    <n v="900"/>
  </r>
  <r>
    <n v="923"/>
    <x v="65"/>
    <s v="CUST923"/>
    <x v="1"/>
    <n v="32"/>
    <x v="0"/>
    <n v="3"/>
    <n v="300"/>
    <n v="900"/>
  </r>
  <r>
    <n v="624"/>
    <x v="66"/>
    <s v="CUST624"/>
    <x v="0"/>
    <n v="34"/>
    <x v="0"/>
    <n v="3"/>
    <n v="300"/>
    <n v="900"/>
  </r>
  <r>
    <n v="806"/>
    <x v="67"/>
    <s v="CUST806"/>
    <x v="0"/>
    <n v="35"/>
    <x v="0"/>
    <n v="3"/>
    <n v="300"/>
    <n v="900"/>
  </r>
  <r>
    <n v="472"/>
    <x v="68"/>
    <s v="CUST472"/>
    <x v="0"/>
    <n v="38"/>
    <x v="0"/>
    <n v="3"/>
    <n v="300"/>
    <n v="900"/>
  </r>
  <r>
    <n v="30"/>
    <x v="69"/>
    <s v="CUST030"/>
    <x v="0"/>
    <n v="39"/>
    <x v="0"/>
    <n v="3"/>
    <n v="300"/>
    <n v="900"/>
  </r>
  <r>
    <n v="183"/>
    <x v="70"/>
    <s v="CUST183"/>
    <x v="0"/>
    <n v="43"/>
    <x v="0"/>
    <n v="3"/>
    <n v="300"/>
    <n v="900"/>
  </r>
  <r>
    <n v="708"/>
    <x v="71"/>
    <s v="CUST708"/>
    <x v="0"/>
    <n v="43"/>
    <x v="0"/>
    <n v="3"/>
    <n v="300"/>
    <n v="900"/>
  </r>
  <r>
    <n v="36"/>
    <x v="72"/>
    <s v="CUST036"/>
    <x v="1"/>
    <n v="52"/>
    <x v="0"/>
    <n v="3"/>
    <n v="300"/>
    <n v="900"/>
  </r>
  <r>
    <n v="788"/>
    <x v="73"/>
    <s v="CUST788"/>
    <x v="0"/>
    <n v="52"/>
    <x v="0"/>
    <n v="3"/>
    <n v="300"/>
    <n v="900"/>
  </r>
  <r>
    <n v="198"/>
    <x v="74"/>
    <s v="CUST198"/>
    <x v="0"/>
    <n v="54"/>
    <x v="0"/>
    <n v="3"/>
    <n v="300"/>
    <n v="900"/>
  </r>
  <r>
    <n v="727"/>
    <x v="75"/>
    <s v="CUST727"/>
    <x v="1"/>
    <n v="55"/>
    <x v="0"/>
    <n v="3"/>
    <n v="300"/>
    <n v="900"/>
  </r>
  <r>
    <n v="35"/>
    <x v="36"/>
    <s v="CUST035"/>
    <x v="0"/>
    <n v="58"/>
    <x v="0"/>
    <n v="3"/>
    <n v="300"/>
    <n v="900"/>
  </r>
  <r>
    <n v="457"/>
    <x v="48"/>
    <s v="CUST457"/>
    <x v="0"/>
    <n v="58"/>
    <x v="0"/>
    <n v="3"/>
    <n v="300"/>
    <n v="900"/>
  </r>
  <r>
    <n v="827"/>
    <x v="76"/>
    <s v="CUST827"/>
    <x v="1"/>
    <n v="61"/>
    <x v="0"/>
    <n v="3"/>
    <n v="300"/>
    <n v="900"/>
  </r>
  <r>
    <n v="129"/>
    <x v="22"/>
    <s v="CUST129"/>
    <x v="0"/>
    <n v="21"/>
    <x v="0"/>
    <n v="2"/>
    <n v="300"/>
    <n v="600"/>
  </r>
  <r>
    <n v="131"/>
    <x v="77"/>
    <s v="CUST131"/>
    <x v="0"/>
    <n v="21"/>
    <x v="0"/>
    <n v="2"/>
    <n v="300"/>
    <n v="600"/>
  </r>
  <r>
    <n v="373"/>
    <x v="38"/>
    <s v="CUST373"/>
    <x v="0"/>
    <n v="25"/>
    <x v="0"/>
    <n v="2"/>
    <n v="300"/>
    <n v="600"/>
  </r>
  <r>
    <n v="610"/>
    <x v="78"/>
    <s v="CUST610"/>
    <x v="0"/>
    <n v="26"/>
    <x v="0"/>
    <n v="2"/>
    <n v="300"/>
    <n v="600"/>
  </r>
  <r>
    <n v="290"/>
    <x v="79"/>
    <s v="CUST290"/>
    <x v="0"/>
    <n v="30"/>
    <x v="0"/>
    <n v="2"/>
    <n v="300"/>
    <n v="600"/>
  </r>
  <r>
    <n v="221"/>
    <x v="80"/>
    <s v="CUST221"/>
    <x v="1"/>
    <n v="39"/>
    <x v="0"/>
    <n v="2"/>
    <n v="300"/>
    <n v="600"/>
  </r>
  <r>
    <n v="976"/>
    <x v="43"/>
    <s v="CUST976"/>
    <x v="0"/>
    <n v="48"/>
    <x v="0"/>
    <n v="2"/>
    <n v="300"/>
    <n v="600"/>
  </r>
  <r>
    <n v="543"/>
    <x v="81"/>
    <s v="CUST543"/>
    <x v="1"/>
    <n v="49"/>
    <x v="0"/>
    <n v="2"/>
    <n v="300"/>
    <n v="600"/>
  </r>
  <r>
    <n v="233"/>
    <x v="19"/>
    <s v="CUST233"/>
    <x v="0"/>
    <n v="51"/>
    <x v="0"/>
    <n v="2"/>
    <n v="300"/>
    <n v="600"/>
  </r>
  <r>
    <n v="302"/>
    <x v="7"/>
    <s v="CUST302"/>
    <x v="1"/>
    <n v="57"/>
    <x v="0"/>
    <n v="2"/>
    <n v="300"/>
    <n v="600"/>
  </r>
  <r>
    <n v="508"/>
    <x v="82"/>
    <s v="CUST508"/>
    <x v="1"/>
    <n v="58"/>
    <x v="0"/>
    <n v="2"/>
    <n v="300"/>
    <n v="600"/>
  </r>
  <r>
    <n v="364"/>
    <x v="83"/>
    <s v="CUST364"/>
    <x v="0"/>
    <n v="19"/>
    <x v="0"/>
    <n v="1"/>
    <n v="500"/>
    <n v="500"/>
  </r>
  <r>
    <n v="537"/>
    <x v="84"/>
    <s v="CUST537"/>
    <x v="0"/>
    <n v="21"/>
    <x v="0"/>
    <n v="1"/>
    <n v="500"/>
    <n v="500"/>
  </r>
  <r>
    <n v="128"/>
    <x v="85"/>
    <s v="CUST128"/>
    <x v="1"/>
    <n v="25"/>
    <x v="0"/>
    <n v="1"/>
    <n v="500"/>
    <n v="500"/>
  </r>
  <r>
    <n v="539"/>
    <x v="37"/>
    <s v="CUST539"/>
    <x v="1"/>
    <n v="25"/>
    <x v="0"/>
    <n v="1"/>
    <n v="500"/>
    <n v="500"/>
  </r>
  <r>
    <n v="760"/>
    <x v="86"/>
    <s v="CUST760"/>
    <x v="1"/>
    <n v="27"/>
    <x v="0"/>
    <n v="1"/>
    <n v="500"/>
    <n v="500"/>
  </r>
  <r>
    <n v="934"/>
    <x v="87"/>
    <s v="CUST934"/>
    <x v="1"/>
    <n v="30"/>
    <x v="0"/>
    <n v="1"/>
    <n v="500"/>
    <n v="500"/>
  </r>
  <r>
    <n v="781"/>
    <x v="88"/>
    <s v="CUST781"/>
    <x v="1"/>
    <n v="35"/>
    <x v="0"/>
    <n v="1"/>
    <n v="500"/>
    <n v="500"/>
  </r>
  <r>
    <n v="238"/>
    <x v="89"/>
    <s v="CUST238"/>
    <x v="0"/>
    <n v="39"/>
    <x v="0"/>
    <n v="1"/>
    <n v="500"/>
    <n v="500"/>
  </r>
  <r>
    <n v="28"/>
    <x v="22"/>
    <s v="CUST028"/>
    <x v="0"/>
    <n v="43"/>
    <x v="0"/>
    <n v="1"/>
    <n v="500"/>
    <n v="500"/>
  </r>
  <r>
    <n v="21"/>
    <x v="71"/>
    <s v="CUST021"/>
    <x v="0"/>
    <n v="50"/>
    <x v="0"/>
    <n v="1"/>
    <n v="500"/>
    <n v="500"/>
  </r>
  <r>
    <n v="541"/>
    <x v="90"/>
    <s v="CUST541"/>
    <x v="1"/>
    <n v="56"/>
    <x v="0"/>
    <n v="1"/>
    <n v="500"/>
    <n v="500"/>
  </r>
  <r>
    <n v="937"/>
    <x v="91"/>
    <s v="CUST937"/>
    <x v="0"/>
    <n v="62"/>
    <x v="0"/>
    <n v="1"/>
    <n v="500"/>
    <n v="500"/>
  </r>
  <r>
    <n v="220"/>
    <x v="92"/>
    <s v="CUST220"/>
    <x v="1"/>
    <n v="64"/>
    <x v="0"/>
    <n v="1"/>
    <n v="500"/>
    <n v="500"/>
  </r>
  <r>
    <n v="408"/>
    <x v="93"/>
    <s v="CUST408"/>
    <x v="0"/>
    <n v="64"/>
    <x v="0"/>
    <n v="1"/>
    <n v="500"/>
    <n v="500"/>
  </r>
  <r>
    <n v="240"/>
    <x v="94"/>
    <s v="CUST240"/>
    <x v="0"/>
    <n v="23"/>
    <x v="0"/>
    <n v="1"/>
    <n v="300"/>
    <n v="300"/>
  </r>
  <r>
    <n v="555"/>
    <x v="95"/>
    <s v="CUST555"/>
    <x v="1"/>
    <n v="25"/>
    <x v="0"/>
    <n v="1"/>
    <n v="300"/>
    <n v="300"/>
  </r>
  <r>
    <n v="358"/>
    <x v="96"/>
    <s v="CUST358"/>
    <x v="0"/>
    <n v="32"/>
    <x v="0"/>
    <n v="1"/>
    <n v="300"/>
    <n v="300"/>
  </r>
  <r>
    <n v="79"/>
    <x v="97"/>
    <s v="CUST079"/>
    <x v="1"/>
    <n v="34"/>
    <x v="0"/>
    <n v="1"/>
    <n v="300"/>
    <n v="300"/>
  </r>
  <r>
    <n v="52"/>
    <x v="98"/>
    <s v="CUST052"/>
    <x v="0"/>
    <n v="36"/>
    <x v="0"/>
    <n v="1"/>
    <n v="300"/>
    <n v="300"/>
  </r>
  <r>
    <n v="174"/>
    <x v="50"/>
    <s v="CUST174"/>
    <x v="0"/>
    <n v="39"/>
    <x v="0"/>
    <n v="1"/>
    <n v="300"/>
    <n v="300"/>
  </r>
  <r>
    <n v="378"/>
    <x v="99"/>
    <s v="CUST378"/>
    <x v="1"/>
    <n v="50"/>
    <x v="0"/>
    <n v="1"/>
    <n v="300"/>
    <n v="300"/>
  </r>
  <r>
    <n v="947"/>
    <x v="100"/>
    <s v="CUST947"/>
    <x v="1"/>
    <n v="50"/>
    <x v="0"/>
    <n v="1"/>
    <n v="300"/>
    <n v="300"/>
  </r>
  <r>
    <n v="905"/>
    <x v="101"/>
    <s v="CUST905"/>
    <x v="1"/>
    <n v="58"/>
    <x v="0"/>
    <n v="1"/>
    <n v="300"/>
    <n v="300"/>
  </r>
  <r>
    <n v="794"/>
    <x v="102"/>
    <s v="CUST794"/>
    <x v="0"/>
    <n v="60"/>
    <x v="0"/>
    <n v="1"/>
    <n v="300"/>
    <n v="300"/>
  </r>
  <r>
    <n v="628"/>
    <x v="103"/>
    <s v="CUST628"/>
    <x v="0"/>
    <n v="19"/>
    <x v="0"/>
    <n v="4"/>
    <n v="50"/>
    <n v="200"/>
  </r>
  <r>
    <n v="61"/>
    <x v="104"/>
    <s v="CUST061"/>
    <x v="1"/>
    <n v="21"/>
    <x v="0"/>
    <n v="4"/>
    <n v="50"/>
    <n v="200"/>
  </r>
  <r>
    <n v="330"/>
    <x v="77"/>
    <s v="CUST330"/>
    <x v="0"/>
    <n v="25"/>
    <x v="0"/>
    <n v="4"/>
    <n v="50"/>
    <n v="200"/>
  </r>
  <r>
    <n v="740"/>
    <x v="105"/>
    <s v="CUST740"/>
    <x v="0"/>
    <n v="25"/>
    <x v="0"/>
    <n v="4"/>
    <n v="50"/>
    <n v="200"/>
  </r>
  <r>
    <n v="584"/>
    <x v="32"/>
    <s v="CUST584"/>
    <x v="0"/>
    <n v="27"/>
    <x v="0"/>
    <n v="4"/>
    <n v="50"/>
    <n v="200"/>
  </r>
  <r>
    <n v="433"/>
    <x v="106"/>
    <s v="CUST433"/>
    <x v="1"/>
    <n v="29"/>
    <x v="0"/>
    <n v="4"/>
    <n v="50"/>
    <n v="200"/>
  </r>
  <r>
    <n v="817"/>
    <x v="107"/>
    <s v="CUST817"/>
    <x v="1"/>
    <n v="30"/>
    <x v="0"/>
    <n v="4"/>
    <n v="50"/>
    <n v="200"/>
  </r>
  <r>
    <n v="785"/>
    <x v="92"/>
    <s v="CUST785"/>
    <x v="0"/>
    <n v="31"/>
    <x v="0"/>
    <n v="4"/>
    <n v="50"/>
    <n v="200"/>
  </r>
  <r>
    <n v="82"/>
    <x v="68"/>
    <s v="CUST082"/>
    <x v="0"/>
    <n v="32"/>
    <x v="0"/>
    <n v="4"/>
    <n v="50"/>
    <n v="200"/>
  </r>
  <r>
    <n v="38"/>
    <x v="29"/>
    <s v="CUST038"/>
    <x v="1"/>
    <n v="38"/>
    <x v="0"/>
    <n v="4"/>
    <n v="50"/>
    <n v="200"/>
  </r>
  <r>
    <n v="510"/>
    <x v="108"/>
    <s v="CUST510"/>
    <x v="0"/>
    <n v="39"/>
    <x v="0"/>
    <n v="4"/>
    <n v="50"/>
    <n v="200"/>
  </r>
  <r>
    <n v="494"/>
    <x v="77"/>
    <s v="CUST494"/>
    <x v="0"/>
    <n v="42"/>
    <x v="0"/>
    <n v="4"/>
    <n v="50"/>
    <n v="200"/>
  </r>
  <r>
    <n v="833"/>
    <x v="109"/>
    <s v="CUST833"/>
    <x v="1"/>
    <n v="42"/>
    <x v="0"/>
    <n v="4"/>
    <n v="50"/>
    <n v="200"/>
  </r>
  <r>
    <n v="354"/>
    <x v="93"/>
    <s v="CUST354"/>
    <x v="0"/>
    <n v="49"/>
    <x v="0"/>
    <n v="4"/>
    <n v="50"/>
    <n v="200"/>
  </r>
  <r>
    <n v="903"/>
    <x v="110"/>
    <s v="CUST903"/>
    <x v="0"/>
    <n v="51"/>
    <x v="0"/>
    <n v="4"/>
    <n v="50"/>
    <n v="200"/>
  </r>
  <r>
    <n v="961"/>
    <x v="111"/>
    <s v="CUST961"/>
    <x v="1"/>
    <n v="53"/>
    <x v="0"/>
    <n v="4"/>
    <n v="50"/>
    <n v="200"/>
  </r>
  <r>
    <n v="723"/>
    <x v="112"/>
    <s v="CUST723"/>
    <x v="0"/>
    <n v="54"/>
    <x v="0"/>
    <n v="4"/>
    <n v="50"/>
    <n v="200"/>
  </r>
  <r>
    <n v="251"/>
    <x v="113"/>
    <s v="CUST251"/>
    <x v="0"/>
    <n v="57"/>
    <x v="0"/>
    <n v="4"/>
    <n v="50"/>
    <n v="200"/>
  </r>
  <r>
    <n v="936"/>
    <x v="17"/>
    <s v="CUST936"/>
    <x v="1"/>
    <n v="57"/>
    <x v="0"/>
    <n v="4"/>
    <n v="50"/>
    <n v="200"/>
  </r>
  <r>
    <n v="75"/>
    <x v="3"/>
    <s v="CUST075"/>
    <x v="1"/>
    <n v="61"/>
    <x v="0"/>
    <n v="4"/>
    <n v="50"/>
    <n v="200"/>
  </r>
  <r>
    <n v="639"/>
    <x v="114"/>
    <s v="CUST639"/>
    <x v="0"/>
    <n v="62"/>
    <x v="0"/>
    <n v="4"/>
    <n v="50"/>
    <n v="200"/>
  </r>
  <r>
    <n v="910"/>
    <x v="115"/>
    <s v="CUST910"/>
    <x v="0"/>
    <n v="20"/>
    <x v="0"/>
    <n v="3"/>
    <n v="50"/>
    <n v="150"/>
  </r>
  <r>
    <n v="200"/>
    <x v="116"/>
    <s v="CUST200"/>
    <x v="1"/>
    <n v="27"/>
    <x v="0"/>
    <n v="3"/>
    <n v="50"/>
    <n v="150"/>
  </r>
  <r>
    <n v="60"/>
    <x v="91"/>
    <s v="CUST060"/>
    <x v="1"/>
    <n v="30"/>
    <x v="0"/>
    <n v="3"/>
    <n v="50"/>
    <n v="150"/>
  </r>
  <r>
    <n v="576"/>
    <x v="24"/>
    <s v="CUST576"/>
    <x v="0"/>
    <n v="33"/>
    <x v="0"/>
    <n v="3"/>
    <n v="50"/>
    <n v="150"/>
  </r>
  <r>
    <n v="1"/>
    <x v="117"/>
    <s v="CUST001"/>
    <x v="1"/>
    <n v="34"/>
    <x v="0"/>
    <n v="3"/>
    <n v="50"/>
    <n v="150"/>
  </r>
  <r>
    <n v="504"/>
    <x v="96"/>
    <s v="CUST504"/>
    <x v="0"/>
    <n v="38"/>
    <x v="0"/>
    <n v="3"/>
    <n v="50"/>
    <n v="150"/>
  </r>
  <r>
    <n v="554"/>
    <x v="118"/>
    <s v="CUST554"/>
    <x v="0"/>
    <n v="46"/>
    <x v="0"/>
    <n v="3"/>
    <n v="50"/>
    <n v="150"/>
  </r>
  <r>
    <n v="912"/>
    <x v="11"/>
    <s v="CUST912"/>
    <x v="1"/>
    <n v="51"/>
    <x v="0"/>
    <n v="3"/>
    <n v="50"/>
    <n v="150"/>
  </r>
  <r>
    <n v="336"/>
    <x v="119"/>
    <s v="CUST336"/>
    <x v="0"/>
    <n v="52"/>
    <x v="0"/>
    <n v="3"/>
    <n v="50"/>
    <n v="150"/>
  </r>
  <r>
    <n v="822"/>
    <x v="4"/>
    <s v="CUST822"/>
    <x v="0"/>
    <n v="52"/>
    <x v="0"/>
    <n v="3"/>
    <n v="50"/>
    <n v="150"/>
  </r>
  <r>
    <n v="931"/>
    <x v="39"/>
    <s v="CUST931"/>
    <x v="1"/>
    <n v="30"/>
    <x v="0"/>
    <n v="4"/>
    <n v="30"/>
    <n v="120"/>
  </r>
  <r>
    <n v="55"/>
    <x v="43"/>
    <s v="CUST055"/>
    <x v="1"/>
    <n v="31"/>
    <x v="0"/>
    <n v="4"/>
    <n v="30"/>
    <n v="120"/>
  </r>
  <r>
    <n v="262"/>
    <x v="120"/>
    <s v="CUST262"/>
    <x v="0"/>
    <n v="32"/>
    <x v="0"/>
    <n v="4"/>
    <n v="30"/>
    <n v="120"/>
  </r>
  <r>
    <n v="598"/>
    <x v="121"/>
    <s v="CUST598"/>
    <x v="1"/>
    <n v="37"/>
    <x v="0"/>
    <n v="4"/>
    <n v="30"/>
    <n v="120"/>
  </r>
  <r>
    <n v="633"/>
    <x v="122"/>
    <s v="CUST633"/>
    <x v="1"/>
    <n v="39"/>
    <x v="0"/>
    <n v="4"/>
    <n v="30"/>
    <n v="120"/>
  </r>
  <r>
    <n v="796"/>
    <x v="72"/>
    <s v="CUST796"/>
    <x v="1"/>
    <n v="43"/>
    <x v="0"/>
    <n v="4"/>
    <n v="30"/>
    <n v="120"/>
  </r>
  <r>
    <n v="335"/>
    <x v="58"/>
    <s v="CUST335"/>
    <x v="0"/>
    <n v="47"/>
    <x v="0"/>
    <n v="4"/>
    <n v="30"/>
    <n v="120"/>
  </r>
  <r>
    <n v="536"/>
    <x v="98"/>
    <s v="CUST536"/>
    <x v="0"/>
    <n v="55"/>
    <x v="0"/>
    <n v="4"/>
    <n v="30"/>
    <n v="120"/>
  </r>
  <r>
    <n v="182"/>
    <x v="123"/>
    <s v="CUST182"/>
    <x v="1"/>
    <n v="62"/>
    <x v="0"/>
    <n v="4"/>
    <n v="30"/>
    <n v="120"/>
  </r>
  <r>
    <n v="271"/>
    <x v="124"/>
    <s v="CUST271"/>
    <x v="0"/>
    <n v="62"/>
    <x v="0"/>
    <n v="4"/>
    <n v="30"/>
    <n v="120"/>
  </r>
  <r>
    <n v="62"/>
    <x v="125"/>
    <s v="CUST062"/>
    <x v="1"/>
    <n v="18"/>
    <x v="0"/>
    <n v="2"/>
    <n v="50"/>
    <n v="100"/>
  </r>
  <r>
    <n v="276"/>
    <x v="126"/>
    <s v="CUST276"/>
    <x v="0"/>
    <n v="21"/>
    <x v="0"/>
    <n v="4"/>
    <n v="25"/>
    <n v="100"/>
  </r>
  <r>
    <n v="114"/>
    <x v="127"/>
    <s v="CUST114"/>
    <x v="0"/>
    <n v="22"/>
    <x v="0"/>
    <n v="4"/>
    <n v="25"/>
    <n v="100"/>
  </r>
  <r>
    <n v="406"/>
    <x v="97"/>
    <s v="CUST406"/>
    <x v="0"/>
    <n v="22"/>
    <x v="0"/>
    <n v="4"/>
    <n v="25"/>
    <n v="100"/>
  </r>
  <r>
    <n v="998"/>
    <x v="69"/>
    <s v="CUST998"/>
    <x v="0"/>
    <n v="23"/>
    <x v="0"/>
    <n v="4"/>
    <n v="25"/>
    <n v="100"/>
  </r>
  <r>
    <n v="87"/>
    <x v="0"/>
    <s v="CUST087"/>
    <x v="0"/>
    <n v="28"/>
    <x v="0"/>
    <n v="2"/>
    <n v="50"/>
    <n v="100"/>
  </r>
  <r>
    <n v="244"/>
    <x v="128"/>
    <s v="CUST244"/>
    <x v="1"/>
    <n v="28"/>
    <x v="0"/>
    <n v="2"/>
    <n v="50"/>
    <n v="100"/>
  </r>
  <r>
    <n v="599"/>
    <x v="129"/>
    <s v="CUST599"/>
    <x v="0"/>
    <n v="28"/>
    <x v="0"/>
    <n v="2"/>
    <n v="50"/>
    <n v="100"/>
  </r>
  <r>
    <n v="5"/>
    <x v="130"/>
    <s v="CUST005"/>
    <x v="1"/>
    <n v="30"/>
    <x v="0"/>
    <n v="2"/>
    <n v="50"/>
    <n v="100"/>
  </r>
  <r>
    <n v="516"/>
    <x v="91"/>
    <s v="CUST516"/>
    <x v="1"/>
    <n v="30"/>
    <x v="0"/>
    <n v="4"/>
    <n v="25"/>
    <n v="100"/>
  </r>
  <r>
    <n v="311"/>
    <x v="131"/>
    <s v="CUST311"/>
    <x v="0"/>
    <n v="32"/>
    <x v="0"/>
    <n v="4"/>
    <n v="25"/>
    <n v="100"/>
  </r>
  <r>
    <n v="951"/>
    <x v="132"/>
    <s v="CUST951"/>
    <x v="1"/>
    <n v="33"/>
    <x v="0"/>
    <n v="2"/>
    <n v="50"/>
    <n v="100"/>
  </r>
  <r>
    <n v="652"/>
    <x v="133"/>
    <s v="CUST652"/>
    <x v="0"/>
    <n v="34"/>
    <x v="0"/>
    <n v="2"/>
    <n v="50"/>
    <n v="100"/>
  </r>
  <r>
    <n v="672"/>
    <x v="121"/>
    <s v="CUST672"/>
    <x v="0"/>
    <n v="34"/>
    <x v="0"/>
    <n v="2"/>
    <n v="50"/>
    <n v="100"/>
  </r>
  <r>
    <n v="819"/>
    <x v="123"/>
    <s v="CUST819"/>
    <x v="0"/>
    <n v="35"/>
    <x v="0"/>
    <n v="2"/>
    <n v="50"/>
    <n v="100"/>
  </r>
  <r>
    <n v="328"/>
    <x v="63"/>
    <s v="CUST328"/>
    <x v="1"/>
    <n v="39"/>
    <x v="0"/>
    <n v="2"/>
    <n v="50"/>
    <n v="100"/>
  </r>
  <r>
    <n v="715"/>
    <x v="134"/>
    <s v="CUST715"/>
    <x v="0"/>
    <n v="42"/>
    <x v="0"/>
    <n v="4"/>
    <n v="25"/>
    <n v="100"/>
  </r>
  <r>
    <n v="176"/>
    <x v="135"/>
    <s v="CUST176"/>
    <x v="0"/>
    <n v="43"/>
    <x v="0"/>
    <n v="2"/>
    <n v="50"/>
    <n v="100"/>
  </r>
  <r>
    <n v="177"/>
    <x v="136"/>
    <s v="CUST177"/>
    <x v="1"/>
    <n v="45"/>
    <x v="0"/>
    <n v="2"/>
    <n v="50"/>
    <n v="100"/>
  </r>
  <r>
    <n v="511"/>
    <x v="56"/>
    <s v="CUST511"/>
    <x v="1"/>
    <n v="45"/>
    <x v="0"/>
    <n v="2"/>
    <n v="50"/>
    <n v="100"/>
  </r>
  <r>
    <n v="932"/>
    <x v="137"/>
    <s v="CUST932"/>
    <x v="0"/>
    <n v="45"/>
    <x v="0"/>
    <n v="4"/>
    <n v="25"/>
    <n v="100"/>
  </r>
  <r>
    <n v="778"/>
    <x v="54"/>
    <s v="CUST778"/>
    <x v="0"/>
    <n v="47"/>
    <x v="0"/>
    <n v="4"/>
    <n v="25"/>
    <n v="100"/>
  </r>
  <r>
    <n v="414"/>
    <x v="138"/>
    <s v="CUST414"/>
    <x v="1"/>
    <n v="48"/>
    <x v="0"/>
    <n v="4"/>
    <n v="25"/>
    <n v="100"/>
  </r>
  <r>
    <n v="972"/>
    <x v="139"/>
    <s v="CUST972"/>
    <x v="1"/>
    <n v="49"/>
    <x v="0"/>
    <n v="4"/>
    <n v="25"/>
    <n v="100"/>
  </r>
  <r>
    <n v="549"/>
    <x v="140"/>
    <s v="CUST549"/>
    <x v="0"/>
    <n v="50"/>
    <x v="0"/>
    <n v="2"/>
    <n v="50"/>
    <n v="100"/>
  </r>
  <r>
    <n v="71"/>
    <x v="7"/>
    <s v="CUST071"/>
    <x v="0"/>
    <n v="51"/>
    <x v="0"/>
    <n v="4"/>
    <n v="25"/>
    <n v="100"/>
  </r>
  <r>
    <n v="338"/>
    <x v="81"/>
    <s v="CUST338"/>
    <x v="1"/>
    <n v="54"/>
    <x v="0"/>
    <n v="2"/>
    <n v="50"/>
    <n v="100"/>
  </r>
  <r>
    <n v="745"/>
    <x v="141"/>
    <s v="CUST745"/>
    <x v="1"/>
    <n v="54"/>
    <x v="0"/>
    <n v="2"/>
    <n v="50"/>
    <n v="100"/>
  </r>
  <r>
    <n v="98"/>
    <x v="22"/>
    <s v="CUST098"/>
    <x v="0"/>
    <n v="55"/>
    <x v="0"/>
    <n v="2"/>
    <n v="50"/>
    <n v="100"/>
  </r>
  <r>
    <n v="924"/>
    <x v="142"/>
    <s v="CUST924"/>
    <x v="1"/>
    <n v="55"/>
    <x v="0"/>
    <n v="2"/>
    <n v="50"/>
    <n v="100"/>
  </r>
  <r>
    <n v="225"/>
    <x v="143"/>
    <s v="CUST225"/>
    <x v="0"/>
    <n v="57"/>
    <x v="0"/>
    <n v="4"/>
    <n v="25"/>
    <n v="100"/>
  </r>
  <r>
    <n v="500"/>
    <x v="144"/>
    <s v="CUST500"/>
    <x v="0"/>
    <n v="60"/>
    <x v="0"/>
    <n v="4"/>
    <n v="25"/>
    <n v="100"/>
  </r>
  <r>
    <n v="492"/>
    <x v="9"/>
    <s v="CUST492"/>
    <x v="1"/>
    <n v="61"/>
    <x v="0"/>
    <n v="4"/>
    <n v="25"/>
    <n v="100"/>
  </r>
  <r>
    <n v="192"/>
    <x v="145"/>
    <s v="CUST192"/>
    <x v="1"/>
    <n v="62"/>
    <x v="0"/>
    <n v="2"/>
    <n v="50"/>
    <n v="100"/>
  </r>
  <r>
    <n v="809"/>
    <x v="146"/>
    <s v="CUST809"/>
    <x v="0"/>
    <n v="62"/>
    <x v="0"/>
    <n v="2"/>
    <n v="50"/>
    <n v="100"/>
  </r>
  <r>
    <n v="679"/>
    <x v="143"/>
    <s v="CUST679"/>
    <x v="0"/>
    <n v="18"/>
    <x v="0"/>
    <n v="3"/>
    <n v="30"/>
    <n v="90"/>
  </r>
  <r>
    <n v="837"/>
    <x v="147"/>
    <s v="CUST837"/>
    <x v="1"/>
    <n v="18"/>
    <x v="0"/>
    <n v="3"/>
    <n v="30"/>
    <n v="90"/>
  </r>
  <r>
    <n v="86"/>
    <x v="148"/>
    <s v="CUST086"/>
    <x v="1"/>
    <n v="19"/>
    <x v="0"/>
    <n v="3"/>
    <n v="30"/>
    <n v="90"/>
  </r>
  <r>
    <n v="557"/>
    <x v="149"/>
    <s v="CUST557"/>
    <x v="0"/>
    <n v="20"/>
    <x v="0"/>
    <n v="3"/>
    <n v="30"/>
    <n v="90"/>
  </r>
  <r>
    <n v="915"/>
    <x v="150"/>
    <s v="CUST915"/>
    <x v="0"/>
    <n v="26"/>
    <x v="0"/>
    <n v="3"/>
    <n v="30"/>
    <n v="90"/>
  </r>
  <r>
    <n v="656"/>
    <x v="79"/>
    <s v="CUST656"/>
    <x v="1"/>
    <n v="29"/>
    <x v="0"/>
    <n v="3"/>
    <n v="30"/>
    <n v="90"/>
  </r>
  <r>
    <n v="32"/>
    <x v="52"/>
    <s v="CUST032"/>
    <x v="1"/>
    <n v="30"/>
    <x v="0"/>
    <n v="3"/>
    <n v="30"/>
    <n v="90"/>
  </r>
  <r>
    <n v="267"/>
    <x v="151"/>
    <s v="CUST267"/>
    <x v="0"/>
    <n v="32"/>
    <x v="0"/>
    <n v="3"/>
    <n v="30"/>
    <n v="90"/>
  </r>
  <r>
    <n v="953"/>
    <x v="152"/>
    <s v="CUST953"/>
    <x v="1"/>
    <n v="45"/>
    <x v="0"/>
    <n v="3"/>
    <n v="30"/>
    <n v="90"/>
  </r>
  <r>
    <n v="383"/>
    <x v="63"/>
    <s v="CUST383"/>
    <x v="0"/>
    <n v="46"/>
    <x v="0"/>
    <n v="3"/>
    <n v="30"/>
    <n v="90"/>
  </r>
  <r>
    <n v="982"/>
    <x v="153"/>
    <s v="CUST982"/>
    <x v="0"/>
    <n v="46"/>
    <x v="0"/>
    <n v="3"/>
    <n v="30"/>
    <n v="90"/>
  </r>
  <r>
    <n v="535"/>
    <x v="154"/>
    <s v="CUST535"/>
    <x v="1"/>
    <n v="47"/>
    <x v="0"/>
    <n v="3"/>
    <n v="30"/>
    <n v="90"/>
  </r>
  <r>
    <n v="997"/>
    <x v="13"/>
    <s v="CUST997"/>
    <x v="1"/>
    <n v="52"/>
    <x v="0"/>
    <n v="3"/>
    <n v="30"/>
    <n v="90"/>
  </r>
  <r>
    <n v="229"/>
    <x v="69"/>
    <s v="CUST229"/>
    <x v="1"/>
    <n v="58"/>
    <x v="0"/>
    <n v="3"/>
    <n v="30"/>
    <n v="90"/>
  </r>
  <r>
    <n v="190"/>
    <x v="45"/>
    <s v="CUST190"/>
    <x v="0"/>
    <n v="60"/>
    <x v="0"/>
    <n v="3"/>
    <n v="30"/>
    <n v="90"/>
  </r>
  <r>
    <n v="829"/>
    <x v="7"/>
    <s v="CUST829"/>
    <x v="1"/>
    <n v="61"/>
    <x v="0"/>
    <n v="3"/>
    <n v="30"/>
    <n v="90"/>
  </r>
  <r>
    <n v="218"/>
    <x v="155"/>
    <s v="CUST218"/>
    <x v="1"/>
    <n v="64"/>
    <x v="0"/>
    <n v="3"/>
    <n v="30"/>
    <n v="90"/>
  </r>
  <r>
    <n v="37"/>
    <x v="4"/>
    <s v="CUST037"/>
    <x v="0"/>
    <n v="18"/>
    <x v="0"/>
    <n v="3"/>
    <n v="25"/>
    <n v="75"/>
  </r>
  <r>
    <n v="469"/>
    <x v="156"/>
    <s v="CUST469"/>
    <x v="1"/>
    <n v="18"/>
    <x v="0"/>
    <n v="3"/>
    <n v="25"/>
    <n v="75"/>
  </r>
  <r>
    <n v="644"/>
    <x v="157"/>
    <s v="CUST644"/>
    <x v="1"/>
    <n v="23"/>
    <x v="0"/>
    <n v="3"/>
    <n v="25"/>
    <n v="75"/>
  </r>
  <r>
    <n v="929"/>
    <x v="158"/>
    <s v="CUST929"/>
    <x v="0"/>
    <n v="23"/>
    <x v="0"/>
    <n v="3"/>
    <n v="25"/>
    <n v="75"/>
  </r>
  <r>
    <n v="768"/>
    <x v="71"/>
    <s v="CUST768"/>
    <x v="0"/>
    <n v="24"/>
    <x v="0"/>
    <n v="3"/>
    <n v="25"/>
    <n v="75"/>
  </r>
  <r>
    <n v="350"/>
    <x v="159"/>
    <s v="CUST350"/>
    <x v="1"/>
    <n v="25"/>
    <x v="0"/>
    <n v="3"/>
    <n v="25"/>
    <n v="75"/>
  </r>
  <r>
    <n v="50"/>
    <x v="160"/>
    <s v="CUST050"/>
    <x v="0"/>
    <n v="27"/>
    <x v="0"/>
    <n v="3"/>
    <n v="25"/>
    <n v="75"/>
  </r>
  <r>
    <n v="51"/>
    <x v="126"/>
    <s v="CUST051"/>
    <x v="1"/>
    <n v="27"/>
    <x v="0"/>
    <n v="3"/>
    <n v="25"/>
    <n v="75"/>
  </r>
  <r>
    <n v="108"/>
    <x v="161"/>
    <s v="CUST108"/>
    <x v="0"/>
    <n v="27"/>
    <x v="0"/>
    <n v="3"/>
    <n v="25"/>
    <n v="75"/>
  </r>
  <r>
    <n v="920"/>
    <x v="162"/>
    <s v="CUST920"/>
    <x v="0"/>
    <n v="28"/>
    <x v="0"/>
    <n v="3"/>
    <n v="25"/>
    <n v="75"/>
  </r>
  <r>
    <n v="713"/>
    <x v="71"/>
    <s v="CUST713"/>
    <x v="1"/>
    <n v="34"/>
    <x v="0"/>
    <n v="3"/>
    <n v="25"/>
    <n v="75"/>
  </r>
  <r>
    <n v="12"/>
    <x v="163"/>
    <s v="CUST012"/>
    <x v="1"/>
    <n v="35"/>
    <x v="0"/>
    <n v="3"/>
    <n v="25"/>
    <n v="75"/>
  </r>
  <r>
    <n v="767"/>
    <x v="164"/>
    <s v="CUST767"/>
    <x v="1"/>
    <n v="39"/>
    <x v="0"/>
    <n v="3"/>
    <n v="25"/>
    <n v="75"/>
  </r>
  <r>
    <n v="413"/>
    <x v="70"/>
    <s v="CUST413"/>
    <x v="0"/>
    <n v="44"/>
    <x v="0"/>
    <n v="3"/>
    <n v="25"/>
    <n v="75"/>
  </r>
  <r>
    <n v="622"/>
    <x v="33"/>
    <s v="CUST622"/>
    <x v="0"/>
    <n v="49"/>
    <x v="0"/>
    <n v="3"/>
    <n v="25"/>
    <n v="75"/>
  </r>
  <r>
    <n v="69"/>
    <x v="165"/>
    <s v="CUST069"/>
    <x v="0"/>
    <n v="56"/>
    <x v="0"/>
    <n v="3"/>
    <n v="25"/>
    <n v="75"/>
  </r>
  <r>
    <n v="374"/>
    <x v="35"/>
    <s v="CUST374"/>
    <x v="0"/>
    <n v="59"/>
    <x v="0"/>
    <n v="3"/>
    <n v="25"/>
    <n v="75"/>
  </r>
  <r>
    <n v="718"/>
    <x v="166"/>
    <s v="CUST718"/>
    <x v="0"/>
    <n v="59"/>
    <x v="0"/>
    <n v="3"/>
    <n v="25"/>
    <n v="75"/>
  </r>
  <r>
    <n v="872"/>
    <x v="46"/>
    <s v="CUST872"/>
    <x v="0"/>
    <n v="63"/>
    <x v="0"/>
    <n v="3"/>
    <n v="25"/>
    <n v="75"/>
  </r>
  <r>
    <n v="214"/>
    <x v="167"/>
    <s v="CUST214"/>
    <x v="1"/>
    <n v="20"/>
    <x v="0"/>
    <n v="2"/>
    <n v="30"/>
    <n v="60"/>
  </r>
  <r>
    <n v="263"/>
    <x v="168"/>
    <s v="CUST263"/>
    <x v="1"/>
    <n v="23"/>
    <x v="0"/>
    <n v="2"/>
    <n v="30"/>
    <n v="60"/>
  </r>
  <r>
    <n v="495"/>
    <x v="18"/>
    <s v="CUST495"/>
    <x v="1"/>
    <n v="24"/>
    <x v="0"/>
    <n v="2"/>
    <n v="30"/>
    <n v="60"/>
  </r>
  <r>
    <n v="260"/>
    <x v="147"/>
    <s v="CUST260"/>
    <x v="1"/>
    <n v="28"/>
    <x v="0"/>
    <n v="2"/>
    <n v="30"/>
    <n v="60"/>
  </r>
  <r>
    <n v="565"/>
    <x v="169"/>
    <s v="CUST565"/>
    <x v="0"/>
    <n v="45"/>
    <x v="0"/>
    <n v="2"/>
    <n v="30"/>
    <n v="60"/>
  </r>
  <r>
    <n v="499"/>
    <x v="170"/>
    <s v="CUST499"/>
    <x v="1"/>
    <n v="46"/>
    <x v="0"/>
    <n v="2"/>
    <n v="30"/>
    <n v="60"/>
  </r>
  <r>
    <n v="581"/>
    <x v="171"/>
    <s v="CUST581"/>
    <x v="0"/>
    <n v="48"/>
    <x v="0"/>
    <n v="2"/>
    <n v="30"/>
    <n v="60"/>
  </r>
  <r>
    <n v="573"/>
    <x v="172"/>
    <s v="CUST573"/>
    <x v="1"/>
    <n v="49"/>
    <x v="0"/>
    <n v="2"/>
    <n v="30"/>
    <n v="60"/>
  </r>
  <r>
    <n v="701"/>
    <x v="173"/>
    <s v="CUST701"/>
    <x v="0"/>
    <n v="52"/>
    <x v="0"/>
    <n v="2"/>
    <n v="30"/>
    <n v="60"/>
  </r>
  <r>
    <n v="448"/>
    <x v="174"/>
    <s v="CUST448"/>
    <x v="0"/>
    <n v="54"/>
    <x v="0"/>
    <n v="2"/>
    <n v="30"/>
    <n v="60"/>
  </r>
  <r>
    <n v="834"/>
    <x v="175"/>
    <s v="CUST834"/>
    <x v="0"/>
    <n v="56"/>
    <x v="0"/>
    <n v="2"/>
    <n v="30"/>
    <n v="60"/>
  </r>
  <r>
    <n v="871"/>
    <x v="113"/>
    <s v="CUST871"/>
    <x v="1"/>
    <n v="62"/>
    <x v="0"/>
    <n v="2"/>
    <n v="30"/>
    <n v="60"/>
  </r>
  <r>
    <n v="399"/>
    <x v="144"/>
    <s v="CUST399"/>
    <x v="0"/>
    <n v="64"/>
    <x v="0"/>
    <n v="2"/>
    <n v="30"/>
    <n v="60"/>
  </r>
  <r>
    <n v="391"/>
    <x v="176"/>
    <s v="CUST391"/>
    <x v="1"/>
    <n v="19"/>
    <x v="0"/>
    <n v="2"/>
    <n v="25"/>
    <n v="50"/>
  </r>
  <r>
    <n v="542"/>
    <x v="112"/>
    <s v="CUST542"/>
    <x v="0"/>
    <n v="20"/>
    <x v="0"/>
    <n v="1"/>
    <n v="50"/>
    <n v="50"/>
  </r>
  <r>
    <n v="792"/>
    <x v="177"/>
    <s v="CUST792"/>
    <x v="0"/>
    <n v="20"/>
    <x v="0"/>
    <n v="1"/>
    <n v="50"/>
    <n v="50"/>
  </r>
  <r>
    <n v="273"/>
    <x v="156"/>
    <s v="CUST273"/>
    <x v="0"/>
    <n v="22"/>
    <x v="0"/>
    <n v="1"/>
    <n v="50"/>
    <n v="50"/>
  </r>
  <r>
    <n v="919"/>
    <x v="178"/>
    <s v="CUST919"/>
    <x v="0"/>
    <n v="22"/>
    <x v="0"/>
    <n v="2"/>
    <n v="25"/>
    <n v="50"/>
  </r>
  <r>
    <n v="505"/>
    <x v="179"/>
    <s v="CUST505"/>
    <x v="1"/>
    <n v="24"/>
    <x v="0"/>
    <n v="1"/>
    <n v="50"/>
    <n v="50"/>
  </r>
  <r>
    <n v="618"/>
    <x v="30"/>
    <s v="CUST618"/>
    <x v="0"/>
    <n v="27"/>
    <x v="0"/>
    <n v="1"/>
    <n v="50"/>
    <n v="50"/>
  </r>
  <r>
    <n v="172"/>
    <x v="102"/>
    <s v="CUST172"/>
    <x v="1"/>
    <n v="32"/>
    <x v="0"/>
    <n v="2"/>
    <n v="25"/>
    <n v="50"/>
  </r>
  <r>
    <n v="935"/>
    <x v="178"/>
    <s v="CUST935"/>
    <x v="0"/>
    <n v="34"/>
    <x v="0"/>
    <n v="1"/>
    <n v="50"/>
    <n v="50"/>
  </r>
  <r>
    <n v="27"/>
    <x v="180"/>
    <s v="CUST027"/>
    <x v="0"/>
    <n v="38"/>
    <x v="0"/>
    <n v="2"/>
    <n v="25"/>
    <n v="50"/>
  </r>
  <r>
    <n v="460"/>
    <x v="181"/>
    <s v="CUST460"/>
    <x v="1"/>
    <n v="40"/>
    <x v="0"/>
    <n v="1"/>
    <n v="50"/>
    <n v="50"/>
  </r>
  <r>
    <n v="493"/>
    <x v="182"/>
    <s v="CUST493"/>
    <x v="1"/>
    <n v="41"/>
    <x v="0"/>
    <n v="2"/>
    <n v="25"/>
    <n v="50"/>
  </r>
  <r>
    <n v="207"/>
    <x v="161"/>
    <s v="CUST207"/>
    <x v="0"/>
    <n v="42"/>
    <x v="0"/>
    <n v="2"/>
    <n v="25"/>
    <n v="50"/>
  </r>
  <r>
    <n v="846"/>
    <x v="155"/>
    <s v="CUST846"/>
    <x v="1"/>
    <n v="42"/>
    <x v="0"/>
    <n v="1"/>
    <n v="50"/>
    <n v="50"/>
  </r>
  <r>
    <n v="40"/>
    <x v="75"/>
    <s v="CUST040"/>
    <x v="1"/>
    <n v="45"/>
    <x v="0"/>
    <n v="1"/>
    <n v="50"/>
    <n v="50"/>
  </r>
  <r>
    <n v="102"/>
    <x v="183"/>
    <s v="CUST102"/>
    <x v="0"/>
    <n v="47"/>
    <x v="0"/>
    <n v="2"/>
    <n v="25"/>
    <n v="50"/>
  </r>
  <r>
    <n v="525"/>
    <x v="60"/>
    <s v="CUST525"/>
    <x v="0"/>
    <n v="47"/>
    <x v="0"/>
    <n v="2"/>
    <n v="25"/>
    <n v="50"/>
  </r>
  <r>
    <n v="902"/>
    <x v="184"/>
    <s v="CUST902"/>
    <x v="0"/>
    <n v="54"/>
    <x v="0"/>
    <n v="1"/>
    <n v="50"/>
    <n v="50"/>
  </r>
  <r>
    <n v="963"/>
    <x v="185"/>
    <s v="CUST963"/>
    <x v="0"/>
    <n v="55"/>
    <x v="0"/>
    <n v="1"/>
    <n v="50"/>
    <n v="50"/>
  </r>
  <r>
    <n v="349"/>
    <x v="186"/>
    <s v="CUST349"/>
    <x v="0"/>
    <n v="57"/>
    <x v="0"/>
    <n v="1"/>
    <n v="50"/>
    <n v="50"/>
  </r>
  <r>
    <n v="712"/>
    <x v="154"/>
    <s v="CUST712"/>
    <x v="0"/>
    <n v="57"/>
    <x v="0"/>
    <n v="2"/>
    <n v="25"/>
    <n v="50"/>
  </r>
  <r>
    <n v="450"/>
    <x v="97"/>
    <s v="CUST450"/>
    <x v="0"/>
    <n v="59"/>
    <x v="0"/>
    <n v="2"/>
    <n v="25"/>
    <n v="50"/>
  </r>
  <r>
    <n v="120"/>
    <x v="80"/>
    <s v="CUST120"/>
    <x v="1"/>
    <n v="60"/>
    <x v="0"/>
    <n v="1"/>
    <n v="50"/>
    <n v="50"/>
  </r>
  <r>
    <n v="811"/>
    <x v="55"/>
    <s v="CUST811"/>
    <x v="1"/>
    <n v="61"/>
    <x v="0"/>
    <n v="2"/>
    <n v="25"/>
    <n v="50"/>
  </r>
  <r>
    <n v="189"/>
    <x v="187"/>
    <s v="CUST189"/>
    <x v="1"/>
    <n v="63"/>
    <x v="0"/>
    <n v="1"/>
    <n v="50"/>
    <n v="50"/>
  </r>
  <r>
    <n v="25"/>
    <x v="68"/>
    <s v="CUST025"/>
    <x v="0"/>
    <n v="64"/>
    <x v="0"/>
    <n v="1"/>
    <n v="50"/>
    <n v="50"/>
  </r>
  <r>
    <n v="473"/>
    <x v="20"/>
    <s v="CUST473"/>
    <x v="1"/>
    <n v="64"/>
    <x v="0"/>
    <n v="1"/>
    <n v="50"/>
    <n v="50"/>
  </r>
  <r>
    <n v="305"/>
    <x v="96"/>
    <s v="CUST305"/>
    <x v="0"/>
    <n v="18"/>
    <x v="0"/>
    <n v="1"/>
    <n v="30"/>
    <n v="30"/>
  </r>
  <r>
    <n v="933"/>
    <x v="188"/>
    <s v="CUST933"/>
    <x v="1"/>
    <n v="22"/>
    <x v="0"/>
    <n v="1"/>
    <n v="30"/>
    <n v="30"/>
  </r>
  <r>
    <n v="747"/>
    <x v="189"/>
    <s v="CUST747"/>
    <x v="1"/>
    <n v="23"/>
    <x v="0"/>
    <n v="1"/>
    <n v="30"/>
    <n v="30"/>
  </r>
  <r>
    <n v="670"/>
    <x v="190"/>
    <s v="CUST670"/>
    <x v="1"/>
    <n v="27"/>
    <x v="0"/>
    <n v="1"/>
    <n v="30"/>
    <n v="30"/>
  </r>
  <r>
    <n v="733"/>
    <x v="142"/>
    <s v="CUST733"/>
    <x v="1"/>
    <n v="34"/>
    <x v="0"/>
    <n v="1"/>
    <n v="30"/>
    <n v="30"/>
  </r>
  <r>
    <n v="344"/>
    <x v="174"/>
    <s v="CUST344"/>
    <x v="0"/>
    <n v="42"/>
    <x v="0"/>
    <n v="1"/>
    <n v="30"/>
    <n v="30"/>
  </r>
  <r>
    <n v="749"/>
    <x v="191"/>
    <s v="CUST749"/>
    <x v="1"/>
    <n v="42"/>
    <x v="0"/>
    <n v="1"/>
    <n v="30"/>
    <n v="30"/>
  </r>
  <r>
    <n v="387"/>
    <x v="192"/>
    <s v="CUST387"/>
    <x v="1"/>
    <n v="44"/>
    <x v="0"/>
    <n v="1"/>
    <n v="30"/>
    <n v="30"/>
  </r>
  <r>
    <n v="6"/>
    <x v="193"/>
    <s v="CUST006"/>
    <x v="0"/>
    <n v="45"/>
    <x v="0"/>
    <n v="1"/>
    <n v="30"/>
    <n v="30"/>
  </r>
  <r>
    <n v="802"/>
    <x v="85"/>
    <s v="CUST802"/>
    <x v="0"/>
    <n v="46"/>
    <x v="0"/>
    <n v="1"/>
    <n v="30"/>
    <n v="30"/>
  </r>
  <r>
    <n v="974"/>
    <x v="191"/>
    <s v="CUST974"/>
    <x v="1"/>
    <n v="47"/>
    <x v="0"/>
    <n v="1"/>
    <n v="30"/>
    <n v="30"/>
  </r>
  <r>
    <n v="793"/>
    <x v="105"/>
    <s v="CUST793"/>
    <x v="1"/>
    <n v="54"/>
    <x v="0"/>
    <n v="1"/>
    <n v="30"/>
    <n v="30"/>
  </r>
  <r>
    <n v="396"/>
    <x v="194"/>
    <s v="CUST396"/>
    <x v="0"/>
    <n v="55"/>
    <x v="0"/>
    <n v="1"/>
    <n v="30"/>
    <n v="30"/>
  </r>
  <r>
    <n v="874"/>
    <x v="195"/>
    <s v="CUST874"/>
    <x v="1"/>
    <n v="60"/>
    <x v="0"/>
    <n v="1"/>
    <n v="30"/>
    <n v="30"/>
  </r>
  <r>
    <n v="57"/>
    <x v="54"/>
    <s v="CUST057"/>
    <x v="0"/>
    <n v="63"/>
    <x v="0"/>
    <n v="1"/>
    <n v="30"/>
    <n v="30"/>
  </r>
  <r>
    <n v="376"/>
    <x v="96"/>
    <s v="CUST376"/>
    <x v="0"/>
    <n v="64"/>
    <x v="0"/>
    <n v="1"/>
    <n v="30"/>
    <n v="30"/>
  </r>
  <r>
    <n v="979"/>
    <x v="196"/>
    <s v="CUST979"/>
    <x v="0"/>
    <n v="19"/>
    <x v="0"/>
    <n v="1"/>
    <n v="25"/>
    <n v="25"/>
  </r>
  <r>
    <n v="371"/>
    <x v="197"/>
    <s v="CUST371"/>
    <x v="0"/>
    <n v="20"/>
    <x v="0"/>
    <n v="1"/>
    <n v="25"/>
    <n v="25"/>
  </r>
  <r>
    <n v="309"/>
    <x v="88"/>
    <s v="CUST309"/>
    <x v="0"/>
    <n v="26"/>
    <x v="0"/>
    <n v="1"/>
    <n v="25"/>
    <n v="25"/>
  </r>
  <r>
    <n v="310"/>
    <x v="198"/>
    <s v="CUST310"/>
    <x v="0"/>
    <n v="28"/>
    <x v="0"/>
    <n v="1"/>
    <n v="25"/>
    <n v="25"/>
  </r>
  <r>
    <n v="397"/>
    <x v="199"/>
    <s v="CUST397"/>
    <x v="0"/>
    <n v="30"/>
    <x v="0"/>
    <n v="1"/>
    <n v="25"/>
    <n v="25"/>
  </r>
  <r>
    <n v="945"/>
    <x v="2"/>
    <s v="CUST945"/>
    <x v="1"/>
    <n v="30"/>
    <x v="0"/>
    <n v="1"/>
    <n v="25"/>
    <n v="25"/>
  </r>
  <r>
    <n v="739"/>
    <x v="200"/>
    <s v="CUST739"/>
    <x v="1"/>
    <n v="36"/>
    <x v="0"/>
    <n v="1"/>
    <n v="25"/>
    <n v="25"/>
  </r>
  <r>
    <n v="204"/>
    <x v="201"/>
    <s v="CUST204"/>
    <x v="1"/>
    <n v="39"/>
    <x v="0"/>
    <n v="1"/>
    <n v="25"/>
    <n v="25"/>
  </r>
  <r>
    <n v="232"/>
    <x v="94"/>
    <s v="CUST232"/>
    <x v="0"/>
    <n v="43"/>
    <x v="0"/>
    <n v="1"/>
    <n v="25"/>
    <n v="25"/>
  </r>
  <r>
    <n v="454"/>
    <x v="162"/>
    <s v="CUST454"/>
    <x v="0"/>
    <n v="46"/>
    <x v="0"/>
    <n v="1"/>
    <n v="25"/>
    <n v="25"/>
  </r>
  <r>
    <n v="825"/>
    <x v="66"/>
    <s v="CUST825"/>
    <x v="0"/>
    <n v="46"/>
    <x v="0"/>
    <n v="1"/>
    <n v="25"/>
    <n v="25"/>
  </r>
  <r>
    <n v="791"/>
    <x v="131"/>
    <s v="CUST791"/>
    <x v="0"/>
    <n v="51"/>
    <x v="0"/>
    <n v="1"/>
    <n v="25"/>
    <n v="25"/>
  </r>
  <r>
    <n v="230"/>
    <x v="22"/>
    <s v="CUST230"/>
    <x v="1"/>
    <n v="54"/>
    <x v="0"/>
    <n v="1"/>
    <n v="25"/>
    <n v="25"/>
  </r>
  <r>
    <n v="855"/>
    <x v="116"/>
    <s v="CUST855"/>
    <x v="1"/>
    <n v="54"/>
    <x v="0"/>
    <n v="1"/>
    <n v="25"/>
    <n v="25"/>
  </r>
  <r>
    <n v="512"/>
    <x v="169"/>
    <s v="CUST512"/>
    <x v="0"/>
    <n v="57"/>
    <x v="0"/>
    <n v="1"/>
    <n v="25"/>
    <n v="25"/>
  </r>
  <r>
    <n v="967"/>
    <x v="202"/>
    <s v="CUST967"/>
    <x v="1"/>
    <n v="62"/>
    <x v="0"/>
    <n v="1"/>
    <n v="25"/>
    <n v="25"/>
  </r>
  <r>
    <n v="191"/>
    <x v="203"/>
    <s v="CUST191"/>
    <x v="1"/>
    <n v="64"/>
    <x v="0"/>
    <n v="1"/>
    <n v="25"/>
    <n v="25"/>
  </r>
  <r>
    <n v="363"/>
    <x v="84"/>
    <s v="CUST363"/>
    <x v="1"/>
    <n v="64"/>
    <x v="0"/>
    <n v="1"/>
    <n v="25"/>
    <n v="25"/>
  </r>
  <r>
    <n v="595"/>
    <x v="76"/>
    <s v="CUST595"/>
    <x v="0"/>
    <n v="18"/>
    <x v="1"/>
    <n v="4"/>
    <n v="500"/>
    <n v="2000"/>
  </r>
  <r>
    <n v="420"/>
    <x v="204"/>
    <s v="CUST420"/>
    <x v="0"/>
    <n v="22"/>
    <x v="1"/>
    <n v="4"/>
    <n v="500"/>
    <n v="2000"/>
  </r>
  <r>
    <n v="269"/>
    <x v="205"/>
    <s v="CUST269"/>
    <x v="1"/>
    <n v="25"/>
    <x v="1"/>
    <n v="4"/>
    <n v="500"/>
    <n v="2000"/>
  </r>
  <r>
    <n v="626"/>
    <x v="206"/>
    <s v="CUST626"/>
    <x v="0"/>
    <n v="26"/>
    <x v="1"/>
    <n v="4"/>
    <n v="500"/>
    <n v="2000"/>
  </r>
  <r>
    <n v="476"/>
    <x v="142"/>
    <s v="CUST476"/>
    <x v="0"/>
    <n v="27"/>
    <x v="1"/>
    <n v="4"/>
    <n v="500"/>
    <n v="2000"/>
  </r>
  <r>
    <n v="572"/>
    <x v="35"/>
    <s v="CUST572"/>
    <x v="1"/>
    <n v="31"/>
    <x v="1"/>
    <n v="4"/>
    <n v="500"/>
    <n v="2000"/>
  </r>
  <r>
    <n v="124"/>
    <x v="14"/>
    <s v="CUST124"/>
    <x v="1"/>
    <n v="33"/>
    <x v="1"/>
    <n v="4"/>
    <n v="500"/>
    <n v="2000"/>
  </r>
  <r>
    <n v="166"/>
    <x v="101"/>
    <s v="CUST166"/>
    <x v="1"/>
    <n v="34"/>
    <x v="1"/>
    <n v="4"/>
    <n v="500"/>
    <n v="2000"/>
  </r>
  <r>
    <n v="342"/>
    <x v="164"/>
    <s v="CUST342"/>
    <x v="0"/>
    <n v="43"/>
    <x v="1"/>
    <n v="4"/>
    <n v="500"/>
    <n v="2000"/>
  </r>
  <r>
    <n v="487"/>
    <x v="18"/>
    <s v="CUST487"/>
    <x v="1"/>
    <n v="44"/>
    <x v="1"/>
    <n v="4"/>
    <n v="500"/>
    <n v="2000"/>
  </r>
  <r>
    <n v="664"/>
    <x v="207"/>
    <s v="CUST664"/>
    <x v="0"/>
    <n v="44"/>
    <x v="1"/>
    <n v="4"/>
    <n v="500"/>
    <n v="2000"/>
  </r>
  <r>
    <n v="253"/>
    <x v="113"/>
    <s v="CUST253"/>
    <x v="0"/>
    <n v="53"/>
    <x v="1"/>
    <n v="4"/>
    <n v="500"/>
    <n v="2000"/>
  </r>
  <r>
    <n v="731"/>
    <x v="208"/>
    <s v="CUST731"/>
    <x v="1"/>
    <n v="54"/>
    <x v="1"/>
    <n v="4"/>
    <n v="500"/>
    <n v="2000"/>
  </r>
  <r>
    <n v="789"/>
    <x v="209"/>
    <s v="CUST789"/>
    <x v="0"/>
    <n v="61"/>
    <x v="1"/>
    <n v="4"/>
    <n v="500"/>
    <n v="2000"/>
  </r>
  <r>
    <n v="547"/>
    <x v="74"/>
    <s v="CUST547"/>
    <x v="1"/>
    <n v="63"/>
    <x v="1"/>
    <n v="4"/>
    <n v="500"/>
    <n v="2000"/>
  </r>
  <r>
    <n v="561"/>
    <x v="210"/>
    <s v="CUST561"/>
    <x v="0"/>
    <n v="64"/>
    <x v="1"/>
    <n v="4"/>
    <n v="500"/>
    <n v="2000"/>
  </r>
  <r>
    <n v="735"/>
    <x v="79"/>
    <s v="CUST735"/>
    <x v="0"/>
    <n v="64"/>
    <x v="1"/>
    <n v="4"/>
    <n v="500"/>
    <n v="2000"/>
  </r>
  <r>
    <n v="16"/>
    <x v="32"/>
    <s v="CUST016"/>
    <x v="1"/>
    <n v="19"/>
    <x v="1"/>
    <n v="3"/>
    <n v="500"/>
    <n v="1500"/>
  </r>
  <r>
    <n v="212"/>
    <x v="211"/>
    <s v="CUST212"/>
    <x v="1"/>
    <n v="21"/>
    <x v="1"/>
    <n v="3"/>
    <n v="500"/>
    <n v="1500"/>
  </r>
  <r>
    <n v="474"/>
    <x v="31"/>
    <s v="CUST474"/>
    <x v="0"/>
    <n v="26"/>
    <x v="1"/>
    <n v="3"/>
    <n v="500"/>
    <n v="1500"/>
  </r>
  <r>
    <n v="956"/>
    <x v="212"/>
    <s v="CUST956"/>
    <x v="1"/>
    <n v="30"/>
    <x v="1"/>
    <n v="3"/>
    <n v="500"/>
    <n v="1500"/>
  </r>
  <r>
    <n v="580"/>
    <x v="154"/>
    <s v="CUST580"/>
    <x v="0"/>
    <n v="31"/>
    <x v="1"/>
    <n v="3"/>
    <n v="500"/>
    <n v="1500"/>
  </r>
  <r>
    <n v="112"/>
    <x v="213"/>
    <s v="CUST112"/>
    <x v="1"/>
    <n v="37"/>
    <x v="1"/>
    <n v="3"/>
    <n v="500"/>
    <n v="1500"/>
  </r>
  <r>
    <n v="280"/>
    <x v="175"/>
    <s v="CUST280"/>
    <x v="0"/>
    <n v="37"/>
    <x v="1"/>
    <n v="3"/>
    <n v="500"/>
    <n v="1500"/>
  </r>
  <r>
    <n v="421"/>
    <x v="196"/>
    <s v="CUST421"/>
    <x v="0"/>
    <n v="37"/>
    <x v="1"/>
    <n v="3"/>
    <n v="500"/>
    <n v="1500"/>
  </r>
  <r>
    <n v="673"/>
    <x v="205"/>
    <s v="CUST673"/>
    <x v="0"/>
    <n v="43"/>
    <x v="1"/>
    <n v="3"/>
    <n v="500"/>
    <n v="1500"/>
  </r>
  <r>
    <n v="78"/>
    <x v="147"/>
    <s v="CUST078"/>
    <x v="0"/>
    <n v="47"/>
    <x v="1"/>
    <n v="3"/>
    <n v="500"/>
    <n v="1500"/>
  </r>
  <r>
    <n v="452"/>
    <x v="156"/>
    <s v="CUST452"/>
    <x v="0"/>
    <n v="48"/>
    <x v="1"/>
    <n v="3"/>
    <n v="500"/>
    <n v="1500"/>
  </r>
  <r>
    <n v="115"/>
    <x v="134"/>
    <s v="CUST115"/>
    <x v="1"/>
    <n v="51"/>
    <x v="1"/>
    <n v="3"/>
    <n v="500"/>
    <n v="1500"/>
  </r>
  <r>
    <n v="942"/>
    <x v="214"/>
    <s v="CUST942"/>
    <x v="1"/>
    <n v="51"/>
    <x v="1"/>
    <n v="3"/>
    <n v="500"/>
    <n v="1500"/>
  </r>
  <r>
    <n v="215"/>
    <x v="200"/>
    <s v="CUST215"/>
    <x v="1"/>
    <n v="58"/>
    <x v="1"/>
    <n v="3"/>
    <n v="500"/>
    <n v="1500"/>
  </r>
  <r>
    <n v="647"/>
    <x v="215"/>
    <s v="CUST647"/>
    <x v="1"/>
    <n v="59"/>
    <x v="1"/>
    <n v="3"/>
    <n v="500"/>
    <n v="1500"/>
  </r>
  <r>
    <n v="58"/>
    <x v="216"/>
    <s v="CUST058"/>
    <x v="1"/>
    <n v="18"/>
    <x v="1"/>
    <n v="4"/>
    <n v="300"/>
    <n v="1200"/>
  </r>
  <r>
    <n v="484"/>
    <x v="217"/>
    <s v="CUST484"/>
    <x v="0"/>
    <n v="19"/>
    <x v="1"/>
    <n v="4"/>
    <n v="300"/>
    <n v="1200"/>
  </r>
  <r>
    <n v="107"/>
    <x v="188"/>
    <s v="CUST107"/>
    <x v="0"/>
    <n v="21"/>
    <x v="1"/>
    <n v="4"/>
    <n v="300"/>
    <n v="1200"/>
  </r>
  <r>
    <n v="296"/>
    <x v="157"/>
    <s v="CUST296"/>
    <x v="0"/>
    <n v="22"/>
    <x v="1"/>
    <n v="4"/>
    <n v="300"/>
    <n v="1200"/>
  </r>
  <r>
    <n v="663"/>
    <x v="67"/>
    <s v="CUST663"/>
    <x v="1"/>
    <n v="23"/>
    <x v="1"/>
    <n v="4"/>
    <n v="300"/>
    <n v="1200"/>
  </r>
  <r>
    <n v="553"/>
    <x v="218"/>
    <s v="CUST553"/>
    <x v="1"/>
    <n v="24"/>
    <x v="1"/>
    <n v="4"/>
    <n v="300"/>
    <n v="1200"/>
  </r>
  <r>
    <n v="405"/>
    <x v="21"/>
    <s v="CUST405"/>
    <x v="0"/>
    <n v="25"/>
    <x v="1"/>
    <n v="4"/>
    <n v="300"/>
    <n v="1200"/>
  </r>
  <r>
    <n v="459"/>
    <x v="29"/>
    <s v="CUST459"/>
    <x v="1"/>
    <n v="28"/>
    <x v="1"/>
    <n v="4"/>
    <n v="300"/>
    <n v="1200"/>
  </r>
  <r>
    <n v="482"/>
    <x v="110"/>
    <s v="CUST482"/>
    <x v="0"/>
    <n v="28"/>
    <x v="1"/>
    <n v="4"/>
    <n v="300"/>
    <n v="1200"/>
  </r>
  <r>
    <n v="729"/>
    <x v="4"/>
    <s v="CUST729"/>
    <x v="1"/>
    <n v="29"/>
    <x v="1"/>
    <n v="4"/>
    <n v="300"/>
    <n v="1200"/>
  </r>
  <r>
    <n v="800"/>
    <x v="27"/>
    <s v="CUST800"/>
    <x v="1"/>
    <n v="32"/>
    <x v="1"/>
    <n v="4"/>
    <n v="300"/>
    <n v="1200"/>
  </r>
  <r>
    <n v="202"/>
    <x v="219"/>
    <s v="CUST202"/>
    <x v="0"/>
    <n v="34"/>
    <x v="1"/>
    <n v="4"/>
    <n v="300"/>
    <n v="1200"/>
  </r>
  <r>
    <n v="928"/>
    <x v="220"/>
    <s v="CUST928"/>
    <x v="0"/>
    <n v="35"/>
    <x v="1"/>
    <n v="4"/>
    <n v="300"/>
    <n v="1200"/>
  </r>
  <r>
    <n v="340"/>
    <x v="95"/>
    <s v="CUST340"/>
    <x v="0"/>
    <n v="36"/>
    <x v="1"/>
    <n v="4"/>
    <n v="300"/>
    <n v="1200"/>
  </r>
  <r>
    <n v="559"/>
    <x v="25"/>
    <s v="CUST559"/>
    <x v="0"/>
    <n v="40"/>
    <x v="1"/>
    <n v="4"/>
    <n v="300"/>
    <n v="1200"/>
  </r>
  <r>
    <n v="726"/>
    <x v="112"/>
    <s v="CUST726"/>
    <x v="1"/>
    <n v="47"/>
    <x v="1"/>
    <n v="4"/>
    <n v="300"/>
    <n v="1200"/>
  </r>
  <r>
    <n v="368"/>
    <x v="83"/>
    <s v="CUST368"/>
    <x v="0"/>
    <n v="56"/>
    <x v="1"/>
    <n v="4"/>
    <n v="300"/>
    <n v="1200"/>
  </r>
  <r>
    <n v="943"/>
    <x v="221"/>
    <s v="CUST943"/>
    <x v="0"/>
    <n v="57"/>
    <x v="1"/>
    <n v="4"/>
    <n v="300"/>
    <n v="1200"/>
  </r>
  <r>
    <n v="165"/>
    <x v="222"/>
    <s v="CUST165"/>
    <x v="0"/>
    <n v="60"/>
    <x v="1"/>
    <n v="4"/>
    <n v="300"/>
    <n v="1200"/>
  </r>
  <r>
    <n v="716"/>
    <x v="223"/>
    <s v="CUST716"/>
    <x v="0"/>
    <n v="60"/>
    <x v="1"/>
    <n v="4"/>
    <n v="300"/>
    <n v="1200"/>
  </r>
  <r>
    <n v="256"/>
    <x v="224"/>
    <s v="CUST256"/>
    <x v="1"/>
    <n v="23"/>
    <x v="1"/>
    <n v="2"/>
    <n v="500"/>
    <n v="1000"/>
  </r>
  <r>
    <n v="274"/>
    <x v="104"/>
    <s v="CUST274"/>
    <x v="0"/>
    <n v="23"/>
    <x v="1"/>
    <n v="2"/>
    <n v="500"/>
    <n v="1000"/>
  </r>
  <r>
    <n v="2"/>
    <x v="106"/>
    <s v="CUST002"/>
    <x v="0"/>
    <n v="26"/>
    <x v="1"/>
    <n v="2"/>
    <n v="500"/>
    <n v="1000"/>
  </r>
  <r>
    <n v="453"/>
    <x v="225"/>
    <s v="CUST453"/>
    <x v="0"/>
    <n v="26"/>
    <x v="1"/>
    <n v="2"/>
    <n v="500"/>
    <n v="1000"/>
  </r>
  <r>
    <n v="684"/>
    <x v="226"/>
    <s v="CUST684"/>
    <x v="0"/>
    <n v="28"/>
    <x v="1"/>
    <n v="2"/>
    <n v="500"/>
    <n v="1000"/>
  </r>
  <r>
    <n v="275"/>
    <x v="227"/>
    <s v="CUST275"/>
    <x v="1"/>
    <n v="43"/>
    <x v="1"/>
    <n v="2"/>
    <n v="500"/>
    <n v="1000"/>
  </r>
  <r>
    <n v="534"/>
    <x v="108"/>
    <s v="CUST534"/>
    <x v="1"/>
    <n v="45"/>
    <x v="1"/>
    <n v="2"/>
    <n v="500"/>
    <n v="1000"/>
  </r>
  <r>
    <n v="986"/>
    <x v="89"/>
    <s v="CUST986"/>
    <x v="0"/>
    <n v="49"/>
    <x v="1"/>
    <n v="2"/>
    <n v="500"/>
    <n v="1000"/>
  </r>
  <r>
    <n v="382"/>
    <x v="65"/>
    <s v="CUST382"/>
    <x v="0"/>
    <n v="53"/>
    <x v="1"/>
    <n v="2"/>
    <n v="500"/>
    <n v="1000"/>
  </r>
  <r>
    <n v="203"/>
    <x v="96"/>
    <s v="CUST203"/>
    <x v="1"/>
    <n v="56"/>
    <x v="1"/>
    <n v="2"/>
    <n v="500"/>
    <n v="1000"/>
  </r>
  <r>
    <n v="470"/>
    <x v="228"/>
    <s v="CUST470"/>
    <x v="0"/>
    <n v="57"/>
    <x v="1"/>
    <n v="2"/>
    <n v="500"/>
    <n v="1000"/>
  </r>
  <r>
    <n v="346"/>
    <x v="139"/>
    <s v="CUST346"/>
    <x v="1"/>
    <n v="59"/>
    <x v="1"/>
    <n v="2"/>
    <n v="500"/>
    <n v="1000"/>
  </r>
  <r>
    <n v="20"/>
    <x v="229"/>
    <s v="CUST020"/>
    <x v="1"/>
    <n v="22"/>
    <x v="1"/>
    <n v="3"/>
    <n v="300"/>
    <n v="900"/>
  </r>
  <r>
    <n v="42"/>
    <x v="32"/>
    <s v="CUST042"/>
    <x v="1"/>
    <n v="22"/>
    <x v="1"/>
    <n v="3"/>
    <n v="300"/>
    <n v="900"/>
  </r>
  <r>
    <n v="964"/>
    <x v="230"/>
    <s v="CUST964"/>
    <x v="1"/>
    <n v="24"/>
    <x v="1"/>
    <n v="3"/>
    <n v="300"/>
    <n v="900"/>
  </r>
  <r>
    <n v="567"/>
    <x v="231"/>
    <s v="CUST567"/>
    <x v="0"/>
    <n v="25"/>
    <x v="1"/>
    <n v="3"/>
    <n v="300"/>
    <n v="900"/>
  </r>
  <r>
    <n v="56"/>
    <x v="232"/>
    <s v="CUST056"/>
    <x v="0"/>
    <n v="26"/>
    <x v="1"/>
    <n v="3"/>
    <n v="300"/>
    <n v="900"/>
  </r>
  <r>
    <n v="248"/>
    <x v="233"/>
    <s v="CUST248"/>
    <x v="1"/>
    <n v="26"/>
    <x v="1"/>
    <n v="3"/>
    <n v="300"/>
    <n v="900"/>
  </r>
  <r>
    <n v="110"/>
    <x v="49"/>
    <s v="CUST110"/>
    <x v="1"/>
    <n v="27"/>
    <x v="1"/>
    <n v="3"/>
    <n v="300"/>
    <n v="900"/>
  </r>
  <r>
    <n v="987"/>
    <x v="51"/>
    <s v="CUST987"/>
    <x v="0"/>
    <n v="30"/>
    <x v="1"/>
    <n v="3"/>
    <n v="300"/>
    <n v="900"/>
  </r>
  <r>
    <n v="196"/>
    <x v="209"/>
    <s v="CUST196"/>
    <x v="0"/>
    <n v="32"/>
    <x v="1"/>
    <n v="3"/>
    <n v="300"/>
    <n v="900"/>
  </r>
  <r>
    <n v="582"/>
    <x v="185"/>
    <s v="CUST582"/>
    <x v="1"/>
    <n v="35"/>
    <x v="1"/>
    <n v="3"/>
    <n v="300"/>
    <n v="900"/>
  </r>
  <r>
    <n v="590"/>
    <x v="234"/>
    <s v="CUST590"/>
    <x v="1"/>
    <n v="36"/>
    <x v="1"/>
    <n v="3"/>
    <n v="300"/>
    <n v="900"/>
  </r>
  <r>
    <n v="950"/>
    <x v="169"/>
    <s v="CUST950"/>
    <x v="1"/>
    <n v="36"/>
    <x v="1"/>
    <n v="3"/>
    <n v="300"/>
    <n v="900"/>
  </r>
  <r>
    <n v="550"/>
    <x v="235"/>
    <s v="CUST550"/>
    <x v="1"/>
    <n v="40"/>
    <x v="1"/>
    <n v="3"/>
    <n v="300"/>
    <n v="900"/>
  </r>
  <r>
    <n v="969"/>
    <x v="161"/>
    <s v="CUST969"/>
    <x v="0"/>
    <n v="40"/>
    <x v="1"/>
    <n v="3"/>
    <n v="300"/>
    <n v="900"/>
  </r>
  <r>
    <n v="180"/>
    <x v="25"/>
    <s v="CUST180"/>
    <x v="1"/>
    <n v="41"/>
    <x v="1"/>
    <n v="3"/>
    <n v="300"/>
    <n v="900"/>
  </r>
  <r>
    <n v="264"/>
    <x v="236"/>
    <s v="CUST264"/>
    <x v="1"/>
    <n v="47"/>
    <x v="1"/>
    <n v="3"/>
    <n v="300"/>
    <n v="900"/>
  </r>
  <r>
    <n v="968"/>
    <x v="13"/>
    <s v="CUST968"/>
    <x v="0"/>
    <n v="48"/>
    <x v="1"/>
    <n v="3"/>
    <n v="300"/>
    <n v="900"/>
  </r>
  <r>
    <n v="515"/>
    <x v="237"/>
    <s v="CUST515"/>
    <x v="0"/>
    <n v="49"/>
    <x v="1"/>
    <n v="3"/>
    <n v="300"/>
    <n v="900"/>
  </r>
  <r>
    <n v="171"/>
    <x v="117"/>
    <s v="CUST171"/>
    <x v="0"/>
    <n v="52"/>
    <x v="1"/>
    <n v="3"/>
    <n v="300"/>
    <n v="900"/>
  </r>
  <r>
    <n v="690"/>
    <x v="229"/>
    <s v="CUST690"/>
    <x v="0"/>
    <n v="52"/>
    <x v="1"/>
    <n v="3"/>
    <n v="300"/>
    <n v="900"/>
  </r>
  <r>
    <n v="680"/>
    <x v="62"/>
    <s v="CUST680"/>
    <x v="0"/>
    <n v="53"/>
    <x v="1"/>
    <n v="3"/>
    <n v="300"/>
    <n v="900"/>
  </r>
  <r>
    <n v="265"/>
    <x v="238"/>
    <s v="CUST265"/>
    <x v="1"/>
    <n v="55"/>
    <x v="1"/>
    <n v="3"/>
    <n v="300"/>
    <n v="900"/>
  </r>
  <r>
    <n v="782"/>
    <x v="192"/>
    <s v="CUST782"/>
    <x v="1"/>
    <n v="59"/>
    <x v="1"/>
    <n v="3"/>
    <n v="300"/>
    <n v="900"/>
  </r>
  <r>
    <n v="496"/>
    <x v="173"/>
    <s v="CUST496"/>
    <x v="1"/>
    <n v="23"/>
    <x v="1"/>
    <n v="2"/>
    <n v="300"/>
    <n v="600"/>
  </r>
  <r>
    <n v="899"/>
    <x v="61"/>
    <s v="CUST899"/>
    <x v="1"/>
    <n v="26"/>
    <x v="1"/>
    <n v="2"/>
    <n v="300"/>
    <n v="600"/>
  </r>
  <r>
    <n v="392"/>
    <x v="225"/>
    <s v="CUST392"/>
    <x v="1"/>
    <n v="27"/>
    <x v="1"/>
    <n v="2"/>
    <n v="300"/>
    <n v="600"/>
  </r>
  <r>
    <n v="443"/>
    <x v="239"/>
    <s v="CUST443"/>
    <x v="1"/>
    <n v="29"/>
    <x v="1"/>
    <n v="2"/>
    <n v="300"/>
    <n v="600"/>
  </r>
  <r>
    <n v="101"/>
    <x v="240"/>
    <s v="CUST101"/>
    <x v="1"/>
    <n v="32"/>
    <x v="1"/>
    <n v="2"/>
    <n v="300"/>
    <n v="600"/>
  </r>
  <r>
    <n v="403"/>
    <x v="241"/>
    <s v="CUST403"/>
    <x v="1"/>
    <n v="32"/>
    <x v="1"/>
    <n v="2"/>
    <n v="300"/>
    <n v="600"/>
  </r>
  <r>
    <n v="402"/>
    <x v="29"/>
    <s v="CUST402"/>
    <x v="0"/>
    <n v="41"/>
    <x v="1"/>
    <n v="2"/>
    <n v="300"/>
    <n v="600"/>
  </r>
  <r>
    <n v="637"/>
    <x v="116"/>
    <s v="CUST637"/>
    <x v="1"/>
    <n v="43"/>
    <x v="1"/>
    <n v="2"/>
    <n v="300"/>
    <n v="600"/>
  </r>
  <r>
    <n v="96"/>
    <x v="153"/>
    <s v="CUST096"/>
    <x v="0"/>
    <n v="44"/>
    <x v="1"/>
    <n v="2"/>
    <n v="300"/>
    <n v="600"/>
  </r>
  <r>
    <n v="842"/>
    <x v="68"/>
    <s v="CUST842"/>
    <x v="0"/>
    <n v="47"/>
    <x v="1"/>
    <n v="2"/>
    <n v="300"/>
    <n v="600"/>
  </r>
  <r>
    <n v="398"/>
    <x v="96"/>
    <s v="CUST398"/>
    <x v="0"/>
    <n v="48"/>
    <x v="1"/>
    <n v="2"/>
    <n v="300"/>
    <n v="600"/>
  </r>
  <r>
    <n v="649"/>
    <x v="242"/>
    <s v="CUST649"/>
    <x v="0"/>
    <n v="58"/>
    <x v="1"/>
    <n v="2"/>
    <n v="300"/>
    <n v="600"/>
  </r>
  <r>
    <n v="291"/>
    <x v="243"/>
    <s v="CUST291"/>
    <x v="1"/>
    <n v="60"/>
    <x v="1"/>
    <n v="2"/>
    <n v="300"/>
    <n v="600"/>
  </r>
  <r>
    <n v="702"/>
    <x v="149"/>
    <s v="CUST702"/>
    <x v="0"/>
    <n v="60"/>
    <x v="1"/>
    <n v="2"/>
    <n v="300"/>
    <n v="600"/>
  </r>
  <r>
    <n v="440"/>
    <x v="186"/>
    <s v="CUST440"/>
    <x v="1"/>
    <n v="64"/>
    <x v="1"/>
    <n v="2"/>
    <n v="300"/>
    <n v="600"/>
  </r>
  <r>
    <n v="714"/>
    <x v="244"/>
    <s v="CUST714"/>
    <x v="0"/>
    <n v="18"/>
    <x v="1"/>
    <n v="1"/>
    <n v="500"/>
    <n v="500"/>
  </r>
  <r>
    <n v="707"/>
    <x v="245"/>
    <s v="CUST707"/>
    <x v="0"/>
    <n v="26"/>
    <x v="1"/>
    <n v="1"/>
    <n v="500"/>
    <n v="500"/>
  </r>
  <r>
    <n v="394"/>
    <x v="84"/>
    <s v="CUST394"/>
    <x v="0"/>
    <n v="27"/>
    <x v="1"/>
    <n v="1"/>
    <n v="500"/>
    <n v="500"/>
  </r>
  <r>
    <n v="904"/>
    <x v="246"/>
    <s v="CUST904"/>
    <x v="1"/>
    <n v="28"/>
    <x v="1"/>
    <n v="1"/>
    <n v="500"/>
    <n v="500"/>
  </r>
  <r>
    <n v="319"/>
    <x v="190"/>
    <s v="CUST319"/>
    <x v="1"/>
    <n v="31"/>
    <x v="1"/>
    <n v="1"/>
    <n v="500"/>
    <n v="500"/>
  </r>
  <r>
    <n v="761"/>
    <x v="169"/>
    <s v="CUST761"/>
    <x v="0"/>
    <n v="33"/>
    <x v="1"/>
    <n v="1"/>
    <n v="500"/>
    <n v="500"/>
  </r>
  <r>
    <n v="4"/>
    <x v="215"/>
    <s v="CUST004"/>
    <x v="1"/>
    <n v="37"/>
    <x v="1"/>
    <n v="1"/>
    <n v="500"/>
    <n v="500"/>
  </r>
  <r>
    <n v="337"/>
    <x v="133"/>
    <s v="CUST337"/>
    <x v="1"/>
    <n v="38"/>
    <x v="1"/>
    <n v="1"/>
    <n v="500"/>
    <n v="500"/>
  </r>
  <r>
    <n v="570"/>
    <x v="247"/>
    <s v="CUST570"/>
    <x v="1"/>
    <n v="49"/>
    <x v="1"/>
    <n v="1"/>
    <n v="500"/>
    <n v="500"/>
  </r>
  <r>
    <n v="279"/>
    <x v="36"/>
    <s v="CUST279"/>
    <x v="1"/>
    <n v="50"/>
    <x v="1"/>
    <n v="1"/>
    <n v="500"/>
    <n v="500"/>
  </r>
  <r>
    <n v="721"/>
    <x v="248"/>
    <s v="CUST721"/>
    <x v="0"/>
    <n v="52"/>
    <x v="1"/>
    <n v="1"/>
    <n v="500"/>
    <n v="500"/>
  </r>
  <r>
    <n v="697"/>
    <x v="170"/>
    <s v="CUST697"/>
    <x v="1"/>
    <n v="53"/>
    <x v="1"/>
    <n v="1"/>
    <n v="500"/>
    <n v="500"/>
  </r>
  <r>
    <n v="845"/>
    <x v="249"/>
    <s v="CUST845"/>
    <x v="1"/>
    <n v="54"/>
    <x v="1"/>
    <n v="1"/>
    <n v="500"/>
    <n v="500"/>
  </r>
  <r>
    <n v="384"/>
    <x v="250"/>
    <s v="CUST384"/>
    <x v="1"/>
    <n v="55"/>
    <x v="1"/>
    <n v="1"/>
    <n v="500"/>
    <n v="500"/>
  </r>
  <r>
    <n v="655"/>
    <x v="251"/>
    <s v="CUST655"/>
    <x v="0"/>
    <n v="55"/>
    <x v="1"/>
    <n v="1"/>
    <n v="500"/>
    <n v="500"/>
  </r>
  <r>
    <n v="88"/>
    <x v="252"/>
    <s v="CUST088"/>
    <x v="1"/>
    <n v="56"/>
    <x v="1"/>
    <n v="1"/>
    <n v="500"/>
    <n v="500"/>
  </r>
  <r>
    <n v="984"/>
    <x v="142"/>
    <s v="CUST984"/>
    <x v="1"/>
    <n v="56"/>
    <x v="1"/>
    <n v="1"/>
    <n v="500"/>
    <n v="500"/>
  </r>
  <r>
    <n v="130"/>
    <x v="253"/>
    <s v="CUST130"/>
    <x v="0"/>
    <n v="57"/>
    <x v="1"/>
    <n v="1"/>
    <n v="500"/>
    <n v="500"/>
  </r>
  <r>
    <n v="717"/>
    <x v="254"/>
    <s v="CUST717"/>
    <x v="1"/>
    <n v="57"/>
    <x v="1"/>
    <n v="1"/>
    <n v="500"/>
    <n v="500"/>
  </r>
  <r>
    <n v="814"/>
    <x v="255"/>
    <s v="CUST814"/>
    <x v="0"/>
    <n v="59"/>
    <x v="1"/>
    <n v="1"/>
    <n v="500"/>
    <n v="500"/>
  </r>
  <r>
    <n v="983"/>
    <x v="103"/>
    <s v="CUST983"/>
    <x v="0"/>
    <n v="29"/>
    <x v="1"/>
    <n v="1"/>
    <n v="300"/>
    <n v="300"/>
  </r>
  <r>
    <n v="365"/>
    <x v="49"/>
    <s v="CUST365"/>
    <x v="1"/>
    <n v="31"/>
    <x v="1"/>
    <n v="1"/>
    <n v="300"/>
    <n v="300"/>
  </r>
  <r>
    <n v="625"/>
    <x v="225"/>
    <s v="CUST625"/>
    <x v="1"/>
    <n v="31"/>
    <x v="1"/>
    <n v="1"/>
    <n v="300"/>
    <n v="300"/>
  </r>
  <r>
    <n v="674"/>
    <x v="256"/>
    <s v="CUST674"/>
    <x v="0"/>
    <n v="38"/>
    <x v="1"/>
    <n v="1"/>
    <n v="300"/>
    <n v="300"/>
  </r>
  <r>
    <n v="852"/>
    <x v="198"/>
    <s v="CUST852"/>
    <x v="0"/>
    <n v="41"/>
    <x v="1"/>
    <n v="1"/>
    <n v="300"/>
    <n v="300"/>
  </r>
  <r>
    <n v="865"/>
    <x v="257"/>
    <s v="CUST865"/>
    <x v="0"/>
    <n v="42"/>
    <x v="1"/>
    <n v="1"/>
    <n v="300"/>
    <n v="300"/>
  </r>
  <r>
    <n v="70"/>
    <x v="197"/>
    <s v="CUST070"/>
    <x v="0"/>
    <n v="43"/>
    <x v="1"/>
    <n v="1"/>
    <n v="300"/>
    <n v="300"/>
  </r>
  <r>
    <n v="826"/>
    <x v="95"/>
    <s v="CUST826"/>
    <x v="0"/>
    <n v="46"/>
    <x v="1"/>
    <n v="1"/>
    <n v="300"/>
    <n v="300"/>
  </r>
  <r>
    <n v="43"/>
    <x v="7"/>
    <s v="CUST043"/>
    <x v="0"/>
    <n v="48"/>
    <x v="1"/>
    <n v="1"/>
    <n v="300"/>
    <n v="300"/>
  </r>
  <r>
    <n v="741"/>
    <x v="258"/>
    <s v="CUST741"/>
    <x v="1"/>
    <n v="48"/>
    <x v="1"/>
    <n v="1"/>
    <n v="300"/>
    <n v="300"/>
  </r>
  <r>
    <n v="24"/>
    <x v="200"/>
    <s v="CUST024"/>
    <x v="0"/>
    <n v="49"/>
    <x v="1"/>
    <n v="1"/>
    <n v="300"/>
    <n v="300"/>
  </r>
  <r>
    <n v="168"/>
    <x v="27"/>
    <s v="CUST168"/>
    <x v="1"/>
    <n v="53"/>
    <x v="1"/>
    <n v="1"/>
    <n v="300"/>
    <n v="300"/>
  </r>
  <r>
    <n v="783"/>
    <x v="259"/>
    <s v="CUST783"/>
    <x v="0"/>
    <n v="56"/>
    <x v="1"/>
    <n v="1"/>
    <n v="300"/>
    <n v="300"/>
  </r>
  <r>
    <n v="401"/>
    <x v="46"/>
    <s v="CUST401"/>
    <x v="0"/>
    <n v="62"/>
    <x v="1"/>
    <n v="1"/>
    <n v="300"/>
    <n v="300"/>
  </r>
  <r>
    <n v="186"/>
    <x v="85"/>
    <s v="CUST186"/>
    <x v="1"/>
    <n v="20"/>
    <x v="1"/>
    <n v="4"/>
    <n v="50"/>
    <n v="200"/>
  </r>
  <r>
    <n v="801"/>
    <x v="260"/>
    <s v="CUST801"/>
    <x v="1"/>
    <n v="21"/>
    <x v="1"/>
    <n v="4"/>
    <n v="50"/>
    <n v="200"/>
  </r>
  <r>
    <n v="965"/>
    <x v="76"/>
    <s v="CUST965"/>
    <x v="1"/>
    <n v="22"/>
    <x v="1"/>
    <n v="4"/>
    <n v="50"/>
    <n v="200"/>
  </r>
  <r>
    <n v="159"/>
    <x v="232"/>
    <s v="CUST159"/>
    <x v="1"/>
    <n v="26"/>
    <x v="1"/>
    <n v="4"/>
    <n v="50"/>
    <n v="200"/>
  </r>
  <r>
    <n v="341"/>
    <x v="80"/>
    <s v="CUST341"/>
    <x v="1"/>
    <n v="31"/>
    <x v="1"/>
    <n v="4"/>
    <n v="50"/>
    <n v="200"/>
  </r>
  <r>
    <n v="835"/>
    <x v="261"/>
    <s v="CUST835"/>
    <x v="1"/>
    <n v="37"/>
    <x v="1"/>
    <n v="4"/>
    <n v="50"/>
    <n v="200"/>
  </r>
  <r>
    <n v="146"/>
    <x v="168"/>
    <s v="CUST146"/>
    <x v="1"/>
    <n v="38"/>
    <x v="1"/>
    <n v="4"/>
    <n v="50"/>
    <n v="200"/>
  </r>
  <r>
    <n v="197"/>
    <x v="115"/>
    <s v="CUST197"/>
    <x v="0"/>
    <n v="42"/>
    <x v="1"/>
    <n v="4"/>
    <n v="50"/>
    <n v="200"/>
  </r>
  <r>
    <n v="284"/>
    <x v="262"/>
    <s v="CUST284"/>
    <x v="1"/>
    <n v="43"/>
    <x v="1"/>
    <n v="4"/>
    <n v="50"/>
    <n v="200"/>
  </r>
  <r>
    <n v="765"/>
    <x v="211"/>
    <s v="CUST765"/>
    <x v="1"/>
    <n v="43"/>
    <x v="1"/>
    <n v="4"/>
    <n v="50"/>
    <n v="200"/>
  </r>
  <r>
    <n v="259"/>
    <x v="239"/>
    <s v="CUST259"/>
    <x v="0"/>
    <n v="45"/>
    <x v="1"/>
    <n v="4"/>
    <n v="50"/>
    <n v="200"/>
  </r>
  <r>
    <n v="377"/>
    <x v="233"/>
    <s v="CUST377"/>
    <x v="0"/>
    <n v="46"/>
    <x v="1"/>
    <n v="4"/>
    <n v="50"/>
    <n v="200"/>
  </r>
  <r>
    <n v="138"/>
    <x v="15"/>
    <s v="CUST138"/>
    <x v="1"/>
    <n v="49"/>
    <x v="1"/>
    <n v="4"/>
    <n v="50"/>
    <n v="200"/>
  </r>
  <r>
    <n v="938"/>
    <x v="129"/>
    <s v="CUST938"/>
    <x v="1"/>
    <n v="49"/>
    <x v="1"/>
    <n v="4"/>
    <n v="50"/>
    <n v="200"/>
  </r>
  <r>
    <n v="696"/>
    <x v="157"/>
    <s v="CUST696"/>
    <x v="0"/>
    <n v="50"/>
    <x v="1"/>
    <n v="4"/>
    <n v="50"/>
    <n v="200"/>
  </r>
  <r>
    <n v="10"/>
    <x v="263"/>
    <s v="CUST010"/>
    <x v="0"/>
    <n v="52"/>
    <x v="1"/>
    <n v="4"/>
    <n v="50"/>
    <n v="200"/>
  </r>
  <r>
    <n v="400"/>
    <x v="27"/>
    <s v="CUST400"/>
    <x v="1"/>
    <n v="53"/>
    <x v="1"/>
    <n v="4"/>
    <n v="50"/>
    <n v="200"/>
  </r>
  <r>
    <n v="930"/>
    <x v="208"/>
    <s v="CUST930"/>
    <x v="1"/>
    <n v="54"/>
    <x v="1"/>
    <n v="4"/>
    <n v="50"/>
    <n v="200"/>
  </r>
  <r>
    <n v="194"/>
    <x v="157"/>
    <s v="CUST194"/>
    <x v="1"/>
    <n v="55"/>
    <x v="1"/>
    <n v="4"/>
    <n v="50"/>
    <n v="200"/>
  </r>
  <r>
    <n v="975"/>
    <x v="264"/>
    <s v="CUST975"/>
    <x v="0"/>
    <n v="56"/>
    <x v="1"/>
    <n v="4"/>
    <n v="50"/>
    <n v="200"/>
  </r>
  <r>
    <n v="860"/>
    <x v="265"/>
    <s v="CUST860"/>
    <x v="1"/>
    <n v="63"/>
    <x v="1"/>
    <n v="4"/>
    <n v="50"/>
    <n v="200"/>
  </r>
  <r>
    <n v="538"/>
    <x v="102"/>
    <s v="CUST538"/>
    <x v="1"/>
    <n v="18"/>
    <x v="1"/>
    <n v="3"/>
    <n v="50"/>
    <n v="150"/>
  </r>
  <r>
    <n v="231"/>
    <x v="52"/>
    <s v="CUST231"/>
    <x v="0"/>
    <n v="23"/>
    <x v="1"/>
    <n v="3"/>
    <n v="50"/>
    <n v="150"/>
  </r>
  <r>
    <n v="748"/>
    <x v="67"/>
    <s v="CUST748"/>
    <x v="1"/>
    <n v="25"/>
    <x v="1"/>
    <n v="3"/>
    <n v="50"/>
    <n v="150"/>
  </r>
  <r>
    <n v="85"/>
    <x v="94"/>
    <s v="CUST085"/>
    <x v="1"/>
    <n v="31"/>
    <x v="1"/>
    <n v="3"/>
    <n v="50"/>
    <n v="150"/>
  </r>
  <r>
    <n v="471"/>
    <x v="15"/>
    <s v="CUST471"/>
    <x v="1"/>
    <n v="32"/>
    <x v="1"/>
    <n v="3"/>
    <n v="50"/>
    <n v="150"/>
  </r>
  <r>
    <n v="490"/>
    <x v="105"/>
    <s v="CUST490"/>
    <x v="1"/>
    <n v="34"/>
    <x v="1"/>
    <n v="3"/>
    <n v="50"/>
    <n v="150"/>
  </r>
  <r>
    <n v="623"/>
    <x v="199"/>
    <s v="CUST623"/>
    <x v="1"/>
    <n v="34"/>
    <x v="1"/>
    <n v="3"/>
    <n v="50"/>
    <n v="150"/>
  </r>
  <r>
    <n v="529"/>
    <x v="239"/>
    <s v="CUST529"/>
    <x v="0"/>
    <n v="35"/>
    <x v="1"/>
    <n v="3"/>
    <n v="50"/>
    <n v="150"/>
  </r>
  <r>
    <n v="844"/>
    <x v="198"/>
    <s v="CUST844"/>
    <x v="1"/>
    <n v="35"/>
    <x v="1"/>
    <n v="3"/>
    <n v="50"/>
    <n v="150"/>
  </r>
  <r>
    <n v="167"/>
    <x v="102"/>
    <s v="CUST167"/>
    <x v="0"/>
    <n v="43"/>
    <x v="1"/>
    <n v="3"/>
    <n v="50"/>
    <n v="150"/>
  </r>
  <r>
    <n v="34"/>
    <x v="266"/>
    <s v="CUST034"/>
    <x v="0"/>
    <n v="51"/>
    <x v="1"/>
    <n v="3"/>
    <n v="50"/>
    <n v="150"/>
  </r>
  <r>
    <n v="651"/>
    <x v="210"/>
    <s v="CUST651"/>
    <x v="1"/>
    <n v="51"/>
    <x v="1"/>
    <n v="3"/>
    <n v="50"/>
    <n v="150"/>
  </r>
  <r>
    <n v="978"/>
    <x v="63"/>
    <s v="CUST978"/>
    <x v="0"/>
    <n v="53"/>
    <x v="1"/>
    <n v="3"/>
    <n v="50"/>
    <n v="150"/>
  </r>
  <r>
    <n v="119"/>
    <x v="267"/>
    <s v="CUST119"/>
    <x v="0"/>
    <n v="60"/>
    <x v="1"/>
    <n v="3"/>
    <n v="50"/>
    <n v="150"/>
  </r>
  <r>
    <n v="724"/>
    <x v="161"/>
    <s v="CUST724"/>
    <x v="1"/>
    <n v="61"/>
    <x v="1"/>
    <n v="3"/>
    <n v="50"/>
    <n v="150"/>
  </r>
  <r>
    <n v="163"/>
    <x v="196"/>
    <s v="CUST163"/>
    <x v="0"/>
    <n v="64"/>
    <x v="1"/>
    <n v="3"/>
    <n v="50"/>
    <n v="150"/>
  </r>
  <r>
    <n v="830"/>
    <x v="75"/>
    <s v="CUST830"/>
    <x v="0"/>
    <n v="64"/>
    <x v="1"/>
    <n v="3"/>
    <n v="50"/>
    <n v="150"/>
  </r>
  <r>
    <n v="39"/>
    <x v="268"/>
    <s v="CUST039"/>
    <x v="1"/>
    <n v="23"/>
    <x v="1"/>
    <n v="4"/>
    <n v="30"/>
    <n v="120"/>
  </r>
  <r>
    <n v="288"/>
    <x v="30"/>
    <s v="CUST288"/>
    <x v="1"/>
    <n v="28"/>
    <x v="1"/>
    <n v="4"/>
    <n v="30"/>
    <n v="120"/>
  </r>
  <r>
    <n v="301"/>
    <x v="219"/>
    <s v="CUST301"/>
    <x v="1"/>
    <n v="30"/>
    <x v="1"/>
    <n v="4"/>
    <n v="30"/>
    <n v="120"/>
  </r>
  <r>
    <n v="23"/>
    <x v="50"/>
    <s v="CUST023"/>
    <x v="0"/>
    <n v="35"/>
    <x v="1"/>
    <n v="4"/>
    <n v="30"/>
    <n v="120"/>
  </r>
  <r>
    <n v="699"/>
    <x v="75"/>
    <s v="CUST699"/>
    <x v="0"/>
    <n v="37"/>
    <x v="1"/>
    <n v="4"/>
    <n v="30"/>
    <n v="120"/>
  </r>
  <r>
    <n v="312"/>
    <x v="261"/>
    <s v="CUST312"/>
    <x v="1"/>
    <n v="41"/>
    <x v="1"/>
    <n v="4"/>
    <n v="30"/>
    <n v="120"/>
  </r>
  <r>
    <n v="497"/>
    <x v="126"/>
    <s v="CUST497"/>
    <x v="1"/>
    <n v="41"/>
    <x v="1"/>
    <n v="4"/>
    <n v="30"/>
    <n v="120"/>
  </r>
  <r>
    <n v="477"/>
    <x v="269"/>
    <s v="CUST477"/>
    <x v="1"/>
    <n v="43"/>
    <x v="1"/>
    <n v="4"/>
    <n v="30"/>
    <n v="120"/>
  </r>
  <r>
    <n v="876"/>
    <x v="270"/>
    <s v="CUST876"/>
    <x v="1"/>
    <n v="43"/>
    <x v="1"/>
    <n v="4"/>
    <n v="30"/>
    <n v="120"/>
  </r>
  <r>
    <n v="521"/>
    <x v="56"/>
    <s v="CUST521"/>
    <x v="0"/>
    <n v="47"/>
    <x v="1"/>
    <n v="4"/>
    <n v="30"/>
    <n v="120"/>
  </r>
  <r>
    <n v="222"/>
    <x v="152"/>
    <s v="CUST222"/>
    <x v="1"/>
    <n v="51"/>
    <x v="1"/>
    <n v="4"/>
    <n v="30"/>
    <n v="120"/>
  </r>
  <r>
    <n v="314"/>
    <x v="227"/>
    <s v="CUST314"/>
    <x v="1"/>
    <n v="52"/>
    <x v="1"/>
    <n v="4"/>
    <n v="30"/>
    <n v="120"/>
  </r>
  <r>
    <n v="885"/>
    <x v="92"/>
    <s v="CUST885"/>
    <x v="0"/>
    <n v="52"/>
    <x v="1"/>
    <n v="4"/>
    <n v="30"/>
    <n v="120"/>
  </r>
  <r>
    <n v="578"/>
    <x v="65"/>
    <s v="CUST578"/>
    <x v="0"/>
    <n v="54"/>
    <x v="1"/>
    <n v="4"/>
    <n v="30"/>
    <n v="120"/>
  </r>
  <r>
    <n v="895"/>
    <x v="16"/>
    <s v="CUST895"/>
    <x v="0"/>
    <n v="55"/>
    <x v="1"/>
    <n v="4"/>
    <n v="30"/>
    <n v="120"/>
  </r>
  <r>
    <n v="436"/>
    <x v="214"/>
    <s v="CUST436"/>
    <x v="0"/>
    <n v="57"/>
    <x v="1"/>
    <n v="4"/>
    <n v="30"/>
    <n v="120"/>
  </r>
  <r>
    <n v="824"/>
    <x v="271"/>
    <s v="CUST824"/>
    <x v="1"/>
    <n v="63"/>
    <x v="1"/>
    <n v="4"/>
    <n v="30"/>
    <n v="120"/>
  </r>
  <r>
    <n v="14"/>
    <x v="89"/>
    <s v="CUST014"/>
    <x v="1"/>
    <n v="64"/>
    <x v="1"/>
    <n v="4"/>
    <n v="30"/>
    <n v="120"/>
  </r>
  <r>
    <n v="532"/>
    <x v="34"/>
    <s v="CUST532"/>
    <x v="0"/>
    <n v="64"/>
    <x v="1"/>
    <n v="4"/>
    <n v="30"/>
    <n v="120"/>
  </r>
  <r>
    <n v="22"/>
    <x v="272"/>
    <s v="CUST022"/>
    <x v="1"/>
    <n v="18"/>
    <x v="1"/>
    <n v="2"/>
    <n v="50"/>
    <n v="100"/>
  </r>
  <r>
    <n v="11"/>
    <x v="273"/>
    <s v="CUST011"/>
    <x v="1"/>
    <n v="23"/>
    <x v="1"/>
    <n v="2"/>
    <n v="50"/>
    <n v="100"/>
  </r>
  <r>
    <n v="17"/>
    <x v="274"/>
    <s v="CUST017"/>
    <x v="0"/>
    <n v="27"/>
    <x v="1"/>
    <n v="4"/>
    <n v="25"/>
    <n v="100"/>
  </r>
  <r>
    <n v="410"/>
    <x v="171"/>
    <s v="CUST410"/>
    <x v="0"/>
    <n v="29"/>
    <x v="1"/>
    <n v="2"/>
    <n v="50"/>
    <n v="100"/>
  </r>
  <r>
    <n v="736"/>
    <x v="158"/>
    <s v="CUST736"/>
    <x v="1"/>
    <n v="29"/>
    <x v="1"/>
    <n v="4"/>
    <n v="25"/>
    <n v="100"/>
  </r>
  <r>
    <n v="752"/>
    <x v="128"/>
    <s v="CUST752"/>
    <x v="1"/>
    <n v="29"/>
    <x v="1"/>
    <n v="2"/>
    <n v="50"/>
    <n v="100"/>
  </r>
  <r>
    <n v="526"/>
    <x v="167"/>
    <s v="CUST526"/>
    <x v="1"/>
    <n v="33"/>
    <x v="1"/>
    <n v="2"/>
    <n v="50"/>
    <n v="100"/>
  </r>
  <r>
    <n v="991"/>
    <x v="68"/>
    <s v="CUST991"/>
    <x v="0"/>
    <n v="34"/>
    <x v="1"/>
    <n v="2"/>
    <n v="50"/>
    <n v="100"/>
  </r>
  <r>
    <n v="277"/>
    <x v="275"/>
    <s v="CUST277"/>
    <x v="1"/>
    <n v="36"/>
    <x v="1"/>
    <n v="4"/>
    <n v="25"/>
    <n v="100"/>
  </r>
  <r>
    <n v="278"/>
    <x v="267"/>
    <s v="CUST278"/>
    <x v="0"/>
    <n v="37"/>
    <x v="1"/>
    <n v="4"/>
    <n v="25"/>
    <n v="100"/>
  </r>
  <r>
    <n v="803"/>
    <x v="0"/>
    <s v="CUST803"/>
    <x v="1"/>
    <n v="39"/>
    <x v="1"/>
    <n v="4"/>
    <n v="25"/>
    <n v="100"/>
  </r>
  <r>
    <n v="616"/>
    <x v="276"/>
    <s v="CUST616"/>
    <x v="1"/>
    <n v="41"/>
    <x v="1"/>
    <n v="2"/>
    <n v="50"/>
    <n v="100"/>
  </r>
  <r>
    <n v="738"/>
    <x v="193"/>
    <s v="CUST738"/>
    <x v="1"/>
    <n v="41"/>
    <x v="1"/>
    <n v="2"/>
    <n v="50"/>
    <n v="100"/>
  </r>
  <r>
    <n v="360"/>
    <x v="233"/>
    <s v="CUST360"/>
    <x v="1"/>
    <n v="42"/>
    <x v="1"/>
    <n v="4"/>
    <n v="25"/>
    <n v="100"/>
  </r>
  <r>
    <n v="630"/>
    <x v="247"/>
    <s v="CUST630"/>
    <x v="1"/>
    <n v="42"/>
    <x v="1"/>
    <n v="2"/>
    <n v="50"/>
    <n v="100"/>
  </r>
  <r>
    <n v="156"/>
    <x v="182"/>
    <s v="CUST156"/>
    <x v="0"/>
    <n v="43"/>
    <x v="1"/>
    <n v="4"/>
    <n v="25"/>
    <n v="100"/>
  </r>
  <r>
    <n v="160"/>
    <x v="82"/>
    <s v="CUST160"/>
    <x v="0"/>
    <n v="43"/>
    <x v="1"/>
    <n v="2"/>
    <n v="50"/>
    <n v="100"/>
  </r>
  <r>
    <n v="381"/>
    <x v="177"/>
    <s v="CUST381"/>
    <x v="0"/>
    <n v="44"/>
    <x v="1"/>
    <n v="4"/>
    <n v="25"/>
    <n v="100"/>
  </r>
  <r>
    <n v="661"/>
    <x v="277"/>
    <s v="CUST661"/>
    <x v="0"/>
    <n v="44"/>
    <x v="1"/>
    <n v="4"/>
    <n v="25"/>
    <n v="100"/>
  </r>
  <r>
    <n v="77"/>
    <x v="177"/>
    <s v="CUST077"/>
    <x v="0"/>
    <n v="47"/>
    <x v="1"/>
    <n v="2"/>
    <n v="50"/>
    <n v="100"/>
  </r>
  <r>
    <n v="517"/>
    <x v="227"/>
    <s v="CUST517"/>
    <x v="0"/>
    <n v="47"/>
    <x v="1"/>
    <n v="4"/>
    <n v="25"/>
    <n v="100"/>
  </r>
  <r>
    <n v="609"/>
    <x v="153"/>
    <s v="CUST609"/>
    <x v="0"/>
    <n v="47"/>
    <x v="1"/>
    <n v="2"/>
    <n v="50"/>
    <n v="100"/>
  </r>
  <r>
    <n v="125"/>
    <x v="223"/>
    <s v="CUST125"/>
    <x v="1"/>
    <n v="48"/>
    <x v="1"/>
    <n v="2"/>
    <n v="50"/>
    <n v="100"/>
  </r>
  <r>
    <n v="786"/>
    <x v="159"/>
    <s v="CUST786"/>
    <x v="1"/>
    <n v="48"/>
    <x v="1"/>
    <n v="4"/>
    <n v="25"/>
    <n v="100"/>
  </r>
  <r>
    <n v="64"/>
    <x v="11"/>
    <s v="CUST064"/>
    <x v="1"/>
    <n v="49"/>
    <x v="1"/>
    <n v="4"/>
    <n v="25"/>
    <n v="100"/>
  </r>
  <r>
    <n v="498"/>
    <x v="34"/>
    <s v="CUST498"/>
    <x v="0"/>
    <n v="50"/>
    <x v="1"/>
    <n v="4"/>
    <n v="25"/>
    <n v="100"/>
  </r>
  <r>
    <n v="287"/>
    <x v="278"/>
    <s v="CUST287"/>
    <x v="1"/>
    <n v="54"/>
    <x v="1"/>
    <n v="4"/>
    <n v="25"/>
    <n v="100"/>
  </r>
  <r>
    <n v="642"/>
    <x v="16"/>
    <s v="CUST642"/>
    <x v="0"/>
    <n v="54"/>
    <x v="1"/>
    <n v="4"/>
    <n v="25"/>
    <n v="100"/>
  </r>
  <r>
    <n v="688"/>
    <x v="38"/>
    <s v="CUST688"/>
    <x v="1"/>
    <n v="56"/>
    <x v="1"/>
    <n v="4"/>
    <n v="25"/>
    <n v="100"/>
  </r>
  <r>
    <n v="366"/>
    <x v="17"/>
    <s v="CUST366"/>
    <x v="1"/>
    <n v="57"/>
    <x v="1"/>
    <n v="2"/>
    <n v="50"/>
    <n v="100"/>
  </r>
  <r>
    <n v="887"/>
    <x v="49"/>
    <s v="CUST887"/>
    <x v="1"/>
    <n v="59"/>
    <x v="1"/>
    <n v="4"/>
    <n v="25"/>
    <n v="100"/>
  </r>
  <r>
    <n v="442"/>
    <x v="234"/>
    <s v="CUST442"/>
    <x v="0"/>
    <n v="60"/>
    <x v="1"/>
    <n v="4"/>
    <n v="25"/>
    <n v="100"/>
  </r>
  <r>
    <n v="575"/>
    <x v="279"/>
    <s v="CUST575"/>
    <x v="1"/>
    <n v="60"/>
    <x v="1"/>
    <n v="2"/>
    <n v="50"/>
    <n v="100"/>
  </r>
  <r>
    <n v="615"/>
    <x v="88"/>
    <s v="CUST615"/>
    <x v="0"/>
    <n v="61"/>
    <x v="1"/>
    <n v="4"/>
    <n v="25"/>
    <n v="100"/>
  </r>
  <r>
    <n v="187"/>
    <x v="280"/>
    <s v="CUST187"/>
    <x v="0"/>
    <n v="64"/>
    <x v="1"/>
    <n v="2"/>
    <n v="50"/>
    <n v="100"/>
  </r>
  <r>
    <n v="692"/>
    <x v="261"/>
    <s v="CUST692"/>
    <x v="0"/>
    <n v="64"/>
    <x v="1"/>
    <n v="2"/>
    <n v="50"/>
    <n v="100"/>
  </r>
  <r>
    <n v="758"/>
    <x v="281"/>
    <s v="CUST758"/>
    <x v="1"/>
    <n v="64"/>
    <x v="1"/>
    <n v="4"/>
    <n v="25"/>
    <n v="100"/>
  </r>
  <r>
    <n v="294"/>
    <x v="86"/>
    <s v="CUST294"/>
    <x v="0"/>
    <n v="23"/>
    <x v="1"/>
    <n v="3"/>
    <n v="30"/>
    <n v="90"/>
  </r>
  <r>
    <n v="126"/>
    <x v="186"/>
    <s v="CUST126"/>
    <x v="0"/>
    <n v="28"/>
    <x v="1"/>
    <n v="3"/>
    <n v="30"/>
    <n v="90"/>
  </r>
  <r>
    <n v="422"/>
    <x v="282"/>
    <s v="CUST422"/>
    <x v="0"/>
    <n v="28"/>
    <x v="1"/>
    <n v="3"/>
    <n v="30"/>
    <n v="90"/>
  </r>
  <r>
    <n v="746"/>
    <x v="143"/>
    <s v="CUST746"/>
    <x v="0"/>
    <n v="33"/>
    <x v="1"/>
    <n v="3"/>
    <n v="30"/>
    <n v="90"/>
  </r>
  <r>
    <n v="776"/>
    <x v="107"/>
    <s v="CUST776"/>
    <x v="1"/>
    <n v="35"/>
    <x v="1"/>
    <n v="3"/>
    <n v="30"/>
    <n v="90"/>
  </r>
  <r>
    <n v="646"/>
    <x v="191"/>
    <s v="CUST646"/>
    <x v="1"/>
    <n v="38"/>
    <x v="1"/>
    <n v="3"/>
    <n v="30"/>
    <n v="90"/>
  </r>
  <r>
    <n v="603"/>
    <x v="277"/>
    <s v="CUST603"/>
    <x v="0"/>
    <n v="40"/>
    <x v="1"/>
    <n v="3"/>
    <n v="30"/>
    <n v="90"/>
  </r>
  <r>
    <n v="861"/>
    <x v="32"/>
    <s v="CUST861"/>
    <x v="0"/>
    <n v="41"/>
    <x v="1"/>
    <n v="3"/>
    <n v="30"/>
    <n v="90"/>
  </r>
  <r>
    <n v="898"/>
    <x v="132"/>
    <s v="CUST898"/>
    <x v="0"/>
    <n v="42"/>
    <x v="1"/>
    <n v="3"/>
    <n v="30"/>
    <n v="90"/>
  </r>
  <r>
    <n v="419"/>
    <x v="16"/>
    <s v="CUST419"/>
    <x v="0"/>
    <n v="44"/>
    <x v="1"/>
    <n v="3"/>
    <n v="30"/>
    <n v="90"/>
  </r>
  <r>
    <n v="245"/>
    <x v="157"/>
    <s v="CUST245"/>
    <x v="1"/>
    <n v="47"/>
    <x v="1"/>
    <n v="3"/>
    <n v="30"/>
    <n v="90"/>
  </r>
  <r>
    <n v="691"/>
    <x v="22"/>
    <s v="CUST691"/>
    <x v="0"/>
    <n v="51"/>
    <x v="1"/>
    <n v="3"/>
    <n v="30"/>
    <n v="90"/>
  </r>
  <r>
    <n v="613"/>
    <x v="22"/>
    <s v="CUST613"/>
    <x v="0"/>
    <n v="52"/>
    <x v="1"/>
    <n v="3"/>
    <n v="30"/>
    <n v="90"/>
  </r>
  <r>
    <n v="351"/>
    <x v="146"/>
    <s v="CUST351"/>
    <x v="0"/>
    <n v="56"/>
    <x v="1"/>
    <n v="3"/>
    <n v="30"/>
    <n v="90"/>
  </r>
  <r>
    <n v="444"/>
    <x v="74"/>
    <s v="CUST444"/>
    <x v="0"/>
    <n v="61"/>
    <x v="1"/>
    <n v="3"/>
    <n v="30"/>
    <n v="90"/>
  </r>
  <r>
    <n v="704"/>
    <x v="168"/>
    <s v="CUST704"/>
    <x v="0"/>
    <n v="62"/>
    <x v="1"/>
    <n v="3"/>
    <n v="30"/>
    <n v="90"/>
  </r>
  <r>
    <n v="326"/>
    <x v="283"/>
    <s v="CUST326"/>
    <x v="0"/>
    <n v="18"/>
    <x v="1"/>
    <n v="3"/>
    <n v="25"/>
    <n v="75"/>
  </r>
  <r>
    <n v="149"/>
    <x v="46"/>
    <s v="CUST149"/>
    <x v="1"/>
    <n v="22"/>
    <x v="1"/>
    <n v="3"/>
    <n v="25"/>
    <n v="75"/>
  </r>
  <r>
    <n v="475"/>
    <x v="179"/>
    <s v="CUST475"/>
    <x v="1"/>
    <n v="26"/>
    <x v="1"/>
    <n v="3"/>
    <n v="25"/>
    <n v="75"/>
  </r>
  <r>
    <n v="750"/>
    <x v="115"/>
    <s v="CUST750"/>
    <x v="0"/>
    <n v="35"/>
    <x v="1"/>
    <n v="3"/>
    <n v="25"/>
    <n v="75"/>
  </r>
  <r>
    <n v="145"/>
    <x v="132"/>
    <s v="CUST145"/>
    <x v="0"/>
    <n v="39"/>
    <x v="1"/>
    <n v="3"/>
    <n v="25"/>
    <n v="75"/>
  </r>
  <r>
    <n v="188"/>
    <x v="191"/>
    <s v="CUST188"/>
    <x v="1"/>
    <n v="40"/>
    <x v="1"/>
    <n v="3"/>
    <n v="25"/>
    <n v="75"/>
  </r>
  <r>
    <n v="797"/>
    <x v="284"/>
    <s v="CUST797"/>
    <x v="1"/>
    <n v="40"/>
    <x v="1"/>
    <n v="3"/>
    <n v="25"/>
    <n v="75"/>
  </r>
  <r>
    <n v="654"/>
    <x v="285"/>
    <s v="CUST654"/>
    <x v="1"/>
    <n v="42"/>
    <x v="1"/>
    <n v="3"/>
    <n v="25"/>
    <n v="75"/>
  </r>
  <r>
    <n v="439"/>
    <x v="177"/>
    <s v="CUST439"/>
    <x v="1"/>
    <n v="50"/>
    <x v="1"/>
    <n v="3"/>
    <n v="25"/>
    <n v="75"/>
  </r>
  <r>
    <n v="815"/>
    <x v="286"/>
    <s v="CUST815"/>
    <x v="0"/>
    <n v="51"/>
    <x v="1"/>
    <n v="3"/>
    <n v="25"/>
    <n v="75"/>
  </r>
  <r>
    <n v="607"/>
    <x v="234"/>
    <s v="CUST607"/>
    <x v="1"/>
    <n v="54"/>
    <x v="1"/>
    <n v="3"/>
    <n v="25"/>
    <n v="75"/>
  </r>
  <r>
    <n v="653"/>
    <x v="241"/>
    <s v="CUST653"/>
    <x v="1"/>
    <n v="54"/>
    <x v="1"/>
    <n v="3"/>
    <n v="25"/>
    <n v="75"/>
  </r>
  <r>
    <n v="755"/>
    <x v="274"/>
    <s v="CUST755"/>
    <x v="0"/>
    <n v="58"/>
    <x v="1"/>
    <n v="3"/>
    <n v="25"/>
    <n v="75"/>
  </r>
  <r>
    <n v="848"/>
    <x v="2"/>
    <s v="CUST848"/>
    <x v="0"/>
    <n v="63"/>
    <x v="1"/>
    <n v="3"/>
    <n v="25"/>
    <n v="75"/>
  </r>
  <r>
    <n v="988"/>
    <x v="287"/>
    <s v="CUST988"/>
    <x v="0"/>
    <n v="63"/>
    <x v="1"/>
    <n v="3"/>
    <n v="25"/>
    <n v="75"/>
  </r>
  <r>
    <n v="148"/>
    <x v="138"/>
    <s v="CUST148"/>
    <x v="1"/>
    <n v="18"/>
    <x v="1"/>
    <n v="2"/>
    <n v="30"/>
    <n v="60"/>
  </r>
  <r>
    <n v="563"/>
    <x v="239"/>
    <s v="CUST563"/>
    <x v="1"/>
    <n v="20"/>
    <x v="1"/>
    <n v="2"/>
    <n v="30"/>
    <n v="60"/>
  </r>
  <r>
    <n v="900"/>
    <x v="197"/>
    <s v="CUST900"/>
    <x v="1"/>
    <n v="21"/>
    <x v="1"/>
    <n v="2"/>
    <n v="30"/>
    <n v="60"/>
  </r>
  <r>
    <n v="884"/>
    <x v="51"/>
    <s v="CUST884"/>
    <x v="0"/>
    <n v="26"/>
    <x v="1"/>
    <n v="2"/>
    <n v="30"/>
    <n v="60"/>
  </r>
  <r>
    <n v="95"/>
    <x v="117"/>
    <s v="CUST095"/>
    <x v="0"/>
    <n v="32"/>
    <x v="1"/>
    <n v="2"/>
    <n v="30"/>
    <n v="60"/>
  </r>
  <r>
    <n v="528"/>
    <x v="3"/>
    <s v="CUST528"/>
    <x v="0"/>
    <n v="36"/>
    <x v="1"/>
    <n v="2"/>
    <n v="30"/>
    <n v="60"/>
  </r>
  <r>
    <n v="162"/>
    <x v="47"/>
    <s v="CUST162"/>
    <x v="1"/>
    <n v="39"/>
    <x v="1"/>
    <n v="2"/>
    <n v="30"/>
    <n v="60"/>
  </r>
  <r>
    <n v="178"/>
    <x v="79"/>
    <s v="CUST178"/>
    <x v="1"/>
    <n v="40"/>
    <x v="1"/>
    <n v="2"/>
    <n v="30"/>
    <n v="60"/>
  </r>
  <r>
    <n v="719"/>
    <x v="175"/>
    <s v="CUST719"/>
    <x v="0"/>
    <n v="42"/>
    <x v="1"/>
    <n v="2"/>
    <n v="30"/>
    <n v="60"/>
  </r>
  <r>
    <n v="962"/>
    <x v="95"/>
    <s v="CUST962"/>
    <x v="1"/>
    <n v="44"/>
    <x v="1"/>
    <n v="2"/>
    <n v="30"/>
    <n v="60"/>
  </r>
  <r>
    <n v="675"/>
    <x v="140"/>
    <s v="CUST675"/>
    <x v="0"/>
    <n v="45"/>
    <x v="1"/>
    <n v="2"/>
    <n v="30"/>
    <n v="60"/>
  </r>
  <r>
    <n v="315"/>
    <x v="184"/>
    <s v="CUST315"/>
    <x v="1"/>
    <n v="47"/>
    <x v="1"/>
    <n v="2"/>
    <n v="30"/>
    <n v="60"/>
  </r>
  <r>
    <n v="548"/>
    <x v="104"/>
    <s v="CUST548"/>
    <x v="0"/>
    <n v="51"/>
    <x v="1"/>
    <n v="2"/>
    <n v="30"/>
    <n v="60"/>
  </r>
  <r>
    <n v="415"/>
    <x v="158"/>
    <s v="CUST415"/>
    <x v="1"/>
    <n v="53"/>
    <x v="1"/>
    <n v="2"/>
    <n v="30"/>
    <n v="60"/>
  </r>
  <r>
    <n v="478"/>
    <x v="141"/>
    <s v="CUST478"/>
    <x v="0"/>
    <n v="58"/>
    <x v="1"/>
    <n v="2"/>
    <n v="30"/>
    <n v="60"/>
  </r>
  <r>
    <n v="960"/>
    <x v="223"/>
    <s v="CUST960"/>
    <x v="1"/>
    <n v="59"/>
    <x v="1"/>
    <n v="2"/>
    <n v="30"/>
    <n v="60"/>
  </r>
  <r>
    <n v="80"/>
    <x v="167"/>
    <s v="CUST080"/>
    <x v="0"/>
    <n v="64"/>
    <x v="1"/>
    <n v="2"/>
    <n v="30"/>
    <n v="60"/>
  </r>
  <r>
    <n v="135"/>
    <x v="288"/>
    <s v="CUST135"/>
    <x v="1"/>
    <n v="20"/>
    <x v="1"/>
    <n v="2"/>
    <n v="25"/>
    <n v="50"/>
  </r>
  <r>
    <n v="249"/>
    <x v="289"/>
    <s v="CUST249"/>
    <x v="1"/>
    <n v="20"/>
    <x v="1"/>
    <n v="1"/>
    <n v="50"/>
    <n v="50"/>
  </r>
  <r>
    <n v="906"/>
    <x v="192"/>
    <s v="CUST906"/>
    <x v="0"/>
    <n v="20"/>
    <x v="1"/>
    <n v="1"/>
    <n v="50"/>
    <n v="50"/>
  </r>
  <r>
    <n v="261"/>
    <x v="36"/>
    <s v="CUST261"/>
    <x v="1"/>
    <n v="21"/>
    <x v="1"/>
    <n v="2"/>
    <n v="25"/>
    <n v="50"/>
  </r>
  <r>
    <n v="389"/>
    <x v="290"/>
    <s v="CUST389"/>
    <x v="1"/>
    <n v="21"/>
    <x v="1"/>
    <n v="2"/>
    <n v="25"/>
    <n v="50"/>
  </r>
  <r>
    <n v="836"/>
    <x v="161"/>
    <s v="CUST836"/>
    <x v="0"/>
    <n v="22"/>
    <x v="1"/>
    <n v="1"/>
    <n v="50"/>
    <n v="50"/>
  </r>
  <r>
    <n v="170"/>
    <x v="291"/>
    <s v="CUST170"/>
    <x v="0"/>
    <n v="25"/>
    <x v="1"/>
    <n v="2"/>
    <n v="25"/>
    <n v="50"/>
  </r>
  <r>
    <n v="224"/>
    <x v="124"/>
    <s v="CUST224"/>
    <x v="0"/>
    <n v="25"/>
    <x v="1"/>
    <n v="1"/>
    <n v="50"/>
    <n v="50"/>
  </r>
  <r>
    <n v="545"/>
    <x v="184"/>
    <s v="CUST545"/>
    <x v="1"/>
    <n v="27"/>
    <x v="1"/>
    <n v="2"/>
    <n v="25"/>
    <n v="50"/>
  </r>
  <r>
    <n v="151"/>
    <x v="8"/>
    <s v="CUST151"/>
    <x v="1"/>
    <n v="29"/>
    <x v="1"/>
    <n v="1"/>
    <n v="50"/>
    <n v="50"/>
  </r>
  <r>
    <n v="854"/>
    <x v="64"/>
    <s v="CUST854"/>
    <x v="1"/>
    <n v="29"/>
    <x v="1"/>
    <n v="1"/>
    <n v="50"/>
    <n v="50"/>
  </r>
  <r>
    <n v="375"/>
    <x v="102"/>
    <s v="CUST375"/>
    <x v="1"/>
    <n v="32"/>
    <x v="1"/>
    <n v="1"/>
    <n v="50"/>
    <n v="50"/>
  </r>
  <r>
    <n v="770"/>
    <x v="62"/>
    <s v="CUST770"/>
    <x v="1"/>
    <n v="32"/>
    <x v="1"/>
    <n v="1"/>
    <n v="50"/>
    <n v="50"/>
  </r>
  <r>
    <n v="849"/>
    <x v="45"/>
    <s v="CUST849"/>
    <x v="1"/>
    <n v="32"/>
    <x v="1"/>
    <n v="2"/>
    <n v="25"/>
    <n v="50"/>
  </r>
  <r>
    <n v="127"/>
    <x v="18"/>
    <s v="CUST127"/>
    <x v="0"/>
    <n v="33"/>
    <x v="1"/>
    <n v="2"/>
    <n v="25"/>
    <n v="50"/>
  </r>
  <r>
    <n v="737"/>
    <x v="9"/>
    <s v="CUST737"/>
    <x v="0"/>
    <n v="33"/>
    <x v="1"/>
    <n v="1"/>
    <n v="50"/>
    <n v="50"/>
  </r>
  <r>
    <n v="41"/>
    <x v="162"/>
    <s v="CUST041"/>
    <x v="1"/>
    <n v="34"/>
    <x v="1"/>
    <n v="2"/>
    <n v="25"/>
    <n v="50"/>
  </r>
  <r>
    <n v="763"/>
    <x v="137"/>
    <s v="CUST763"/>
    <x v="1"/>
    <n v="34"/>
    <x v="1"/>
    <n v="2"/>
    <n v="25"/>
    <n v="50"/>
  </r>
  <r>
    <n v="730"/>
    <x v="140"/>
    <s v="CUST730"/>
    <x v="0"/>
    <n v="36"/>
    <x v="1"/>
    <n v="2"/>
    <n v="25"/>
    <n v="50"/>
  </r>
  <r>
    <n v="258"/>
    <x v="24"/>
    <s v="CUST258"/>
    <x v="0"/>
    <n v="37"/>
    <x v="1"/>
    <n v="1"/>
    <n v="50"/>
    <n v="50"/>
  </r>
  <r>
    <n v="774"/>
    <x v="50"/>
    <s v="CUST774"/>
    <x v="0"/>
    <n v="40"/>
    <x v="1"/>
    <n v="2"/>
    <n v="25"/>
    <n v="50"/>
  </r>
  <r>
    <n v="751"/>
    <x v="113"/>
    <s v="CUST751"/>
    <x v="0"/>
    <n v="42"/>
    <x v="1"/>
    <n v="2"/>
    <n v="25"/>
    <n v="50"/>
  </r>
  <r>
    <n v="944"/>
    <x v="292"/>
    <s v="CUST944"/>
    <x v="1"/>
    <n v="44"/>
    <x v="1"/>
    <n v="2"/>
    <n v="25"/>
    <n v="50"/>
  </r>
  <r>
    <n v="143"/>
    <x v="237"/>
    <s v="CUST143"/>
    <x v="0"/>
    <n v="45"/>
    <x v="1"/>
    <n v="1"/>
    <n v="50"/>
    <n v="50"/>
  </r>
  <r>
    <n v="7"/>
    <x v="267"/>
    <s v="CUST007"/>
    <x v="1"/>
    <n v="46"/>
    <x v="1"/>
    <n v="2"/>
    <n v="25"/>
    <n v="50"/>
  </r>
  <r>
    <n v="106"/>
    <x v="293"/>
    <s v="CUST106"/>
    <x v="0"/>
    <n v="46"/>
    <x v="1"/>
    <n v="1"/>
    <n v="50"/>
    <n v="50"/>
  </r>
  <r>
    <n v="316"/>
    <x v="274"/>
    <s v="CUST316"/>
    <x v="0"/>
    <n v="48"/>
    <x v="1"/>
    <n v="2"/>
    <n v="25"/>
    <n v="50"/>
  </r>
  <r>
    <n v="359"/>
    <x v="127"/>
    <s v="CUST359"/>
    <x v="1"/>
    <n v="50"/>
    <x v="1"/>
    <n v="1"/>
    <n v="50"/>
    <n v="50"/>
  </r>
  <r>
    <n v="527"/>
    <x v="294"/>
    <s v="CUST527"/>
    <x v="1"/>
    <n v="57"/>
    <x v="1"/>
    <n v="2"/>
    <n v="25"/>
    <n v="50"/>
  </r>
  <r>
    <n v="627"/>
    <x v="295"/>
    <s v="CUST627"/>
    <x v="1"/>
    <n v="57"/>
    <x v="1"/>
    <n v="1"/>
    <n v="50"/>
    <n v="50"/>
  </r>
  <r>
    <n v="665"/>
    <x v="35"/>
    <s v="CUST665"/>
    <x v="1"/>
    <n v="57"/>
    <x v="1"/>
    <n v="1"/>
    <n v="50"/>
    <n v="50"/>
  </r>
  <r>
    <n v="941"/>
    <x v="296"/>
    <s v="CUST941"/>
    <x v="0"/>
    <n v="57"/>
    <x v="1"/>
    <n v="2"/>
    <n v="25"/>
    <n v="50"/>
  </r>
  <r>
    <n v="973"/>
    <x v="63"/>
    <s v="CUST973"/>
    <x v="1"/>
    <n v="60"/>
    <x v="1"/>
    <n v="1"/>
    <n v="50"/>
    <n v="50"/>
  </r>
  <r>
    <n v="226"/>
    <x v="69"/>
    <s v="CUST226"/>
    <x v="0"/>
    <n v="61"/>
    <x v="1"/>
    <n v="1"/>
    <n v="50"/>
    <n v="50"/>
  </r>
  <r>
    <n v="798"/>
    <x v="140"/>
    <s v="CUST798"/>
    <x v="1"/>
    <n v="61"/>
    <x v="1"/>
    <n v="1"/>
    <n v="50"/>
    <n v="50"/>
  </r>
  <r>
    <n v="19"/>
    <x v="297"/>
    <s v="CUST019"/>
    <x v="0"/>
    <n v="62"/>
    <x v="1"/>
    <n v="2"/>
    <n v="25"/>
    <n v="50"/>
  </r>
  <r>
    <n v="59"/>
    <x v="85"/>
    <s v="CUST059"/>
    <x v="1"/>
    <n v="62"/>
    <x v="1"/>
    <n v="1"/>
    <n v="50"/>
    <n v="50"/>
  </r>
  <r>
    <n v="840"/>
    <x v="298"/>
    <s v="CUST840"/>
    <x v="1"/>
    <n v="62"/>
    <x v="1"/>
    <n v="2"/>
    <n v="25"/>
    <n v="50"/>
  </r>
  <r>
    <n v="996"/>
    <x v="96"/>
    <s v="CUST996"/>
    <x v="1"/>
    <n v="62"/>
    <x v="1"/>
    <n v="1"/>
    <n v="50"/>
    <n v="50"/>
  </r>
  <r>
    <n v="601"/>
    <x v="299"/>
    <s v="CUST601"/>
    <x v="1"/>
    <n v="19"/>
    <x v="1"/>
    <n v="1"/>
    <n v="30"/>
    <n v="30"/>
  </r>
  <r>
    <n v="878"/>
    <x v="226"/>
    <s v="CUST878"/>
    <x v="0"/>
    <n v="20"/>
    <x v="1"/>
    <n v="1"/>
    <n v="30"/>
    <n v="30"/>
  </r>
  <r>
    <n v="116"/>
    <x v="83"/>
    <s v="CUST116"/>
    <x v="0"/>
    <n v="23"/>
    <x v="1"/>
    <n v="1"/>
    <n v="30"/>
    <n v="30"/>
  </r>
  <r>
    <n v="879"/>
    <x v="68"/>
    <s v="CUST879"/>
    <x v="1"/>
    <n v="23"/>
    <x v="1"/>
    <n v="1"/>
    <n v="30"/>
    <n v="30"/>
  </r>
  <r>
    <n v="734"/>
    <x v="300"/>
    <s v="CUST734"/>
    <x v="0"/>
    <n v="27"/>
    <x v="1"/>
    <n v="1"/>
    <n v="30"/>
    <n v="30"/>
  </r>
  <r>
    <n v="753"/>
    <x v="137"/>
    <s v="CUST753"/>
    <x v="0"/>
    <n v="32"/>
    <x v="1"/>
    <n v="1"/>
    <n v="30"/>
    <n v="30"/>
  </r>
  <r>
    <n v="518"/>
    <x v="301"/>
    <s v="CUST518"/>
    <x v="0"/>
    <n v="40"/>
    <x v="1"/>
    <n v="1"/>
    <n v="30"/>
    <n v="30"/>
  </r>
  <r>
    <n v="995"/>
    <x v="165"/>
    <s v="CUST995"/>
    <x v="0"/>
    <n v="41"/>
    <x v="1"/>
    <n v="1"/>
    <n v="30"/>
    <n v="30"/>
  </r>
  <r>
    <n v="438"/>
    <x v="302"/>
    <s v="CUST438"/>
    <x v="0"/>
    <n v="42"/>
    <x v="1"/>
    <n v="1"/>
    <n v="30"/>
    <n v="30"/>
  </r>
  <r>
    <n v="255"/>
    <x v="227"/>
    <s v="CUST255"/>
    <x v="1"/>
    <n v="48"/>
    <x v="1"/>
    <n v="1"/>
    <n v="30"/>
    <n v="30"/>
  </r>
  <r>
    <n v="195"/>
    <x v="105"/>
    <s v="CUST195"/>
    <x v="1"/>
    <n v="52"/>
    <x v="1"/>
    <n v="1"/>
    <n v="30"/>
    <n v="30"/>
  </r>
  <r>
    <n v="483"/>
    <x v="193"/>
    <s v="CUST483"/>
    <x v="1"/>
    <n v="55"/>
    <x v="1"/>
    <n v="1"/>
    <n v="30"/>
    <n v="30"/>
  </r>
  <r>
    <n v="566"/>
    <x v="213"/>
    <s v="CUST566"/>
    <x v="0"/>
    <n v="64"/>
    <x v="1"/>
    <n v="1"/>
    <n v="30"/>
    <n v="30"/>
  </r>
  <r>
    <n v="242"/>
    <x v="181"/>
    <s v="CUST242"/>
    <x v="1"/>
    <n v="21"/>
    <x v="1"/>
    <n v="1"/>
    <n v="25"/>
    <n v="25"/>
  </r>
  <r>
    <n v="44"/>
    <x v="1"/>
    <s v="CUST044"/>
    <x v="0"/>
    <n v="22"/>
    <x v="1"/>
    <n v="1"/>
    <n v="25"/>
    <n v="25"/>
  </r>
  <r>
    <n v="185"/>
    <x v="106"/>
    <s v="CUST185"/>
    <x v="1"/>
    <n v="24"/>
    <x v="1"/>
    <n v="1"/>
    <n v="25"/>
    <n v="25"/>
  </r>
  <r>
    <n v="585"/>
    <x v="133"/>
    <s v="CUST585"/>
    <x v="0"/>
    <n v="24"/>
    <x v="1"/>
    <n v="1"/>
    <n v="25"/>
    <n v="25"/>
  </r>
  <r>
    <n v="423"/>
    <x v="303"/>
    <s v="CUST423"/>
    <x v="0"/>
    <n v="27"/>
    <x v="1"/>
    <n v="1"/>
    <n v="25"/>
    <n v="25"/>
  </r>
  <r>
    <n v="657"/>
    <x v="139"/>
    <s v="CUST657"/>
    <x v="1"/>
    <n v="40"/>
    <x v="1"/>
    <n v="1"/>
    <n v="25"/>
    <n v="25"/>
  </r>
  <r>
    <n v="764"/>
    <x v="44"/>
    <s v="CUST764"/>
    <x v="0"/>
    <n v="40"/>
    <x v="1"/>
    <n v="1"/>
    <n v="25"/>
    <n v="25"/>
  </r>
  <r>
    <n v="558"/>
    <x v="304"/>
    <s v="CUST558"/>
    <x v="0"/>
    <n v="41"/>
    <x v="1"/>
    <n v="1"/>
    <n v="25"/>
    <n v="25"/>
  </r>
  <r>
    <n v="205"/>
    <x v="169"/>
    <s v="CUST205"/>
    <x v="0"/>
    <n v="43"/>
    <x v="1"/>
    <n v="1"/>
    <n v="25"/>
    <n v="25"/>
  </r>
  <r>
    <n v="379"/>
    <x v="105"/>
    <s v="CUST379"/>
    <x v="0"/>
    <n v="47"/>
    <x v="1"/>
    <n v="1"/>
    <n v="25"/>
    <n v="25"/>
  </r>
  <r>
    <n v="362"/>
    <x v="151"/>
    <s v="CUST362"/>
    <x v="1"/>
    <n v="50"/>
    <x v="1"/>
    <n v="1"/>
    <n v="25"/>
    <n v="25"/>
  </r>
  <r>
    <n v="236"/>
    <x v="183"/>
    <s v="CUST236"/>
    <x v="0"/>
    <n v="54"/>
    <x v="1"/>
    <n v="1"/>
    <n v="25"/>
    <n v="25"/>
  </r>
  <r>
    <n v="952"/>
    <x v="216"/>
    <s v="CUST952"/>
    <x v="0"/>
    <n v="57"/>
    <x v="1"/>
    <n v="1"/>
    <n v="25"/>
    <n v="25"/>
  </r>
  <r>
    <n v="877"/>
    <x v="34"/>
    <s v="CUST877"/>
    <x v="0"/>
    <n v="58"/>
    <x v="1"/>
    <n v="1"/>
    <n v="25"/>
    <n v="25"/>
  </r>
  <r>
    <n v="955"/>
    <x v="7"/>
    <s v="CUST955"/>
    <x v="1"/>
    <n v="58"/>
    <x v="1"/>
    <n v="1"/>
    <n v="25"/>
    <n v="25"/>
  </r>
  <r>
    <n v="103"/>
    <x v="89"/>
    <s v="CUST103"/>
    <x v="0"/>
    <n v="59"/>
    <x v="1"/>
    <n v="1"/>
    <n v="25"/>
    <n v="25"/>
  </r>
  <r>
    <n v="658"/>
    <x v="253"/>
    <s v="CUST658"/>
    <x v="1"/>
    <n v="59"/>
    <x v="1"/>
    <n v="1"/>
    <n v="25"/>
    <n v="25"/>
  </r>
  <r>
    <n v="206"/>
    <x v="36"/>
    <s v="CUST206"/>
    <x v="1"/>
    <n v="61"/>
    <x v="1"/>
    <n v="1"/>
    <n v="25"/>
    <n v="25"/>
  </r>
  <r>
    <n v="318"/>
    <x v="164"/>
    <s v="CUST318"/>
    <x v="1"/>
    <n v="61"/>
    <x v="1"/>
    <n v="1"/>
    <n v="25"/>
    <n v="25"/>
  </r>
  <r>
    <n v="790"/>
    <x v="223"/>
    <s v="CUST790"/>
    <x v="1"/>
    <n v="62"/>
    <x v="1"/>
    <n v="1"/>
    <n v="25"/>
    <n v="25"/>
  </r>
  <r>
    <n v="223"/>
    <x v="305"/>
    <s v="CUST223"/>
    <x v="0"/>
    <n v="64"/>
    <x v="1"/>
    <n v="1"/>
    <n v="25"/>
    <n v="25"/>
  </r>
  <r>
    <n v="412"/>
    <x v="297"/>
    <s v="CUST412"/>
    <x v="0"/>
    <n v="19"/>
    <x v="2"/>
    <n v="4"/>
    <n v="500"/>
    <n v="2000"/>
  </r>
  <r>
    <n v="72"/>
    <x v="4"/>
    <s v="CUST072"/>
    <x v="0"/>
    <n v="20"/>
    <x v="2"/>
    <n v="4"/>
    <n v="500"/>
    <n v="2000"/>
  </r>
  <r>
    <n v="773"/>
    <x v="306"/>
    <s v="CUST773"/>
    <x v="1"/>
    <n v="25"/>
    <x v="2"/>
    <n v="4"/>
    <n v="500"/>
    <n v="2000"/>
  </r>
  <r>
    <n v="118"/>
    <x v="96"/>
    <s v="CUST118"/>
    <x v="0"/>
    <n v="30"/>
    <x v="2"/>
    <n v="4"/>
    <n v="500"/>
    <n v="2000"/>
  </r>
  <r>
    <n v="155"/>
    <x v="228"/>
    <s v="CUST155"/>
    <x v="1"/>
    <n v="31"/>
    <x v="2"/>
    <n v="4"/>
    <n v="500"/>
    <n v="2000"/>
  </r>
  <r>
    <n v="109"/>
    <x v="203"/>
    <s v="CUST109"/>
    <x v="0"/>
    <n v="34"/>
    <x v="2"/>
    <n v="4"/>
    <n v="500"/>
    <n v="2000"/>
  </r>
  <r>
    <n v="700"/>
    <x v="128"/>
    <s v="CUST700"/>
    <x v="1"/>
    <n v="36"/>
    <x v="2"/>
    <n v="4"/>
    <n v="500"/>
    <n v="2000"/>
  </r>
  <r>
    <n v="742"/>
    <x v="174"/>
    <s v="CUST742"/>
    <x v="0"/>
    <n v="38"/>
    <x v="2"/>
    <n v="4"/>
    <n v="500"/>
    <n v="2000"/>
  </r>
  <r>
    <n v="15"/>
    <x v="6"/>
    <s v="CUST015"/>
    <x v="0"/>
    <n v="42"/>
    <x v="2"/>
    <n v="4"/>
    <n v="500"/>
    <n v="2000"/>
  </r>
  <r>
    <n v="152"/>
    <x v="137"/>
    <s v="CUST152"/>
    <x v="1"/>
    <n v="43"/>
    <x v="2"/>
    <n v="4"/>
    <n v="500"/>
    <n v="2000"/>
  </r>
  <r>
    <n v="927"/>
    <x v="72"/>
    <s v="CUST927"/>
    <x v="1"/>
    <n v="43"/>
    <x v="2"/>
    <n v="4"/>
    <n v="500"/>
    <n v="2000"/>
  </r>
  <r>
    <n v="65"/>
    <x v="131"/>
    <s v="CUST065"/>
    <x v="1"/>
    <n v="51"/>
    <x v="2"/>
    <n v="4"/>
    <n v="500"/>
    <n v="2000"/>
  </r>
  <r>
    <n v="875"/>
    <x v="307"/>
    <s v="CUST875"/>
    <x v="0"/>
    <n v="51"/>
    <x v="2"/>
    <n v="4"/>
    <n v="500"/>
    <n v="2000"/>
  </r>
  <r>
    <n v="416"/>
    <x v="32"/>
    <s v="CUST416"/>
    <x v="1"/>
    <n v="53"/>
    <x v="2"/>
    <n v="4"/>
    <n v="500"/>
    <n v="2000"/>
  </r>
  <r>
    <n v="89"/>
    <x v="245"/>
    <s v="CUST089"/>
    <x v="0"/>
    <n v="55"/>
    <x v="2"/>
    <n v="4"/>
    <n v="500"/>
    <n v="2000"/>
  </r>
  <r>
    <n v="970"/>
    <x v="96"/>
    <s v="CUST970"/>
    <x v="1"/>
    <n v="59"/>
    <x v="2"/>
    <n v="4"/>
    <n v="500"/>
    <n v="2000"/>
  </r>
  <r>
    <n v="634"/>
    <x v="304"/>
    <s v="CUST634"/>
    <x v="1"/>
    <n v="60"/>
    <x v="2"/>
    <n v="4"/>
    <n v="500"/>
    <n v="2000"/>
  </r>
  <r>
    <n v="157"/>
    <x v="72"/>
    <s v="CUST157"/>
    <x v="1"/>
    <n v="62"/>
    <x v="2"/>
    <n v="4"/>
    <n v="500"/>
    <n v="2000"/>
  </r>
  <r>
    <n v="946"/>
    <x v="156"/>
    <s v="CUST946"/>
    <x v="1"/>
    <n v="62"/>
    <x v="2"/>
    <n v="4"/>
    <n v="500"/>
    <n v="2000"/>
  </r>
  <r>
    <n v="533"/>
    <x v="308"/>
    <s v="CUST533"/>
    <x v="1"/>
    <n v="19"/>
    <x v="2"/>
    <n v="3"/>
    <n v="500"/>
    <n v="1500"/>
  </r>
  <r>
    <n v="13"/>
    <x v="36"/>
    <s v="CUST013"/>
    <x v="1"/>
    <n v="22"/>
    <x v="2"/>
    <n v="3"/>
    <n v="500"/>
    <n v="1500"/>
  </r>
  <r>
    <n v="369"/>
    <x v="189"/>
    <s v="CUST369"/>
    <x v="1"/>
    <n v="23"/>
    <x v="2"/>
    <n v="3"/>
    <n v="500"/>
    <n v="1500"/>
  </r>
  <r>
    <n v="710"/>
    <x v="107"/>
    <s v="CUST710"/>
    <x v="0"/>
    <n v="26"/>
    <x v="2"/>
    <n v="3"/>
    <n v="500"/>
    <n v="1500"/>
  </r>
  <r>
    <n v="711"/>
    <x v="221"/>
    <s v="CUST711"/>
    <x v="1"/>
    <n v="26"/>
    <x v="2"/>
    <n v="3"/>
    <n v="500"/>
    <n v="1500"/>
  </r>
  <r>
    <n v="111"/>
    <x v="161"/>
    <s v="CUST111"/>
    <x v="0"/>
    <n v="34"/>
    <x v="2"/>
    <n v="3"/>
    <n v="500"/>
    <n v="1500"/>
  </r>
  <r>
    <n v="507"/>
    <x v="132"/>
    <s v="CUST507"/>
    <x v="0"/>
    <n v="37"/>
    <x v="2"/>
    <n v="3"/>
    <n v="500"/>
    <n v="1500"/>
  </r>
  <r>
    <n v="54"/>
    <x v="145"/>
    <s v="CUST054"/>
    <x v="0"/>
    <n v="38"/>
    <x v="2"/>
    <n v="3"/>
    <n v="500"/>
    <n v="1500"/>
  </r>
  <r>
    <n v="239"/>
    <x v="34"/>
    <s v="CUST239"/>
    <x v="1"/>
    <n v="38"/>
    <x v="2"/>
    <n v="3"/>
    <n v="500"/>
    <n v="1500"/>
  </r>
  <r>
    <n v="356"/>
    <x v="108"/>
    <s v="CUST356"/>
    <x v="1"/>
    <n v="50"/>
    <x v="2"/>
    <n v="3"/>
    <n v="500"/>
    <n v="1500"/>
  </r>
  <r>
    <n v="385"/>
    <x v="309"/>
    <s v="CUST385"/>
    <x v="1"/>
    <n v="50"/>
    <x v="2"/>
    <n v="3"/>
    <n v="500"/>
    <n v="1500"/>
  </r>
  <r>
    <n v="608"/>
    <x v="213"/>
    <s v="CUST608"/>
    <x v="0"/>
    <n v="55"/>
    <x v="2"/>
    <n v="3"/>
    <n v="500"/>
    <n v="1500"/>
  </r>
  <r>
    <n v="859"/>
    <x v="275"/>
    <s v="CUST859"/>
    <x v="0"/>
    <n v="56"/>
    <x v="2"/>
    <n v="3"/>
    <n v="500"/>
    <n v="1500"/>
  </r>
  <r>
    <n v="676"/>
    <x v="310"/>
    <s v="CUST676"/>
    <x v="1"/>
    <n v="63"/>
    <x v="2"/>
    <n v="3"/>
    <n v="500"/>
    <n v="1500"/>
  </r>
  <r>
    <n v="847"/>
    <x v="227"/>
    <s v="CUST847"/>
    <x v="0"/>
    <n v="18"/>
    <x v="2"/>
    <n v="4"/>
    <n v="300"/>
    <n v="1200"/>
  </r>
  <r>
    <n v="181"/>
    <x v="311"/>
    <s v="CUST181"/>
    <x v="1"/>
    <n v="19"/>
    <x v="2"/>
    <n v="4"/>
    <n v="300"/>
    <n v="1200"/>
  </r>
  <r>
    <n v="46"/>
    <x v="195"/>
    <s v="CUST046"/>
    <x v="0"/>
    <n v="20"/>
    <x v="2"/>
    <n v="4"/>
    <n v="300"/>
    <n v="1200"/>
  </r>
  <r>
    <n v="839"/>
    <x v="72"/>
    <s v="CUST839"/>
    <x v="0"/>
    <n v="20"/>
    <x v="2"/>
    <n v="4"/>
    <n v="300"/>
    <n v="1200"/>
  </r>
  <r>
    <n v="320"/>
    <x v="205"/>
    <s v="CUST320"/>
    <x v="0"/>
    <n v="28"/>
    <x v="2"/>
    <n v="4"/>
    <n v="300"/>
    <n v="1200"/>
  </r>
  <r>
    <n v="862"/>
    <x v="232"/>
    <s v="CUST862"/>
    <x v="1"/>
    <n v="28"/>
    <x v="2"/>
    <n v="4"/>
    <n v="300"/>
    <n v="1200"/>
  </r>
  <r>
    <n v="828"/>
    <x v="128"/>
    <s v="CUST828"/>
    <x v="0"/>
    <n v="33"/>
    <x v="2"/>
    <n v="4"/>
    <n v="300"/>
    <n v="1200"/>
  </r>
  <r>
    <n v="361"/>
    <x v="167"/>
    <s v="CUST361"/>
    <x v="0"/>
    <n v="34"/>
    <x v="2"/>
    <n v="4"/>
    <n v="300"/>
    <n v="1200"/>
  </r>
  <r>
    <n v="142"/>
    <x v="305"/>
    <s v="CUST142"/>
    <x v="1"/>
    <n v="35"/>
    <x v="2"/>
    <n v="4"/>
    <n v="300"/>
    <n v="1200"/>
  </r>
  <r>
    <n v="437"/>
    <x v="263"/>
    <s v="CUST437"/>
    <x v="0"/>
    <n v="35"/>
    <x v="2"/>
    <n v="4"/>
    <n v="300"/>
    <n v="1200"/>
  </r>
  <r>
    <n v="481"/>
    <x v="111"/>
    <s v="CUST481"/>
    <x v="0"/>
    <n v="43"/>
    <x v="2"/>
    <n v="4"/>
    <n v="300"/>
    <n v="1200"/>
  </r>
  <r>
    <n v="757"/>
    <x v="312"/>
    <s v="CUST757"/>
    <x v="0"/>
    <n v="43"/>
    <x v="2"/>
    <n v="4"/>
    <n v="300"/>
    <n v="1200"/>
  </r>
  <r>
    <n v="31"/>
    <x v="4"/>
    <s v="CUST031"/>
    <x v="1"/>
    <n v="44"/>
    <x v="2"/>
    <n v="4"/>
    <n v="300"/>
    <n v="1200"/>
  </r>
  <r>
    <n v="99"/>
    <x v="259"/>
    <s v="CUST099"/>
    <x v="0"/>
    <n v="50"/>
    <x v="2"/>
    <n v="4"/>
    <n v="300"/>
    <n v="1200"/>
  </r>
  <r>
    <n v="479"/>
    <x v="160"/>
    <s v="CUST479"/>
    <x v="1"/>
    <n v="52"/>
    <x v="2"/>
    <n v="4"/>
    <n v="300"/>
    <n v="1200"/>
  </r>
  <r>
    <n v="333"/>
    <x v="105"/>
    <s v="CUST333"/>
    <x v="0"/>
    <n v="54"/>
    <x v="2"/>
    <n v="4"/>
    <n v="300"/>
    <n v="1200"/>
  </r>
  <r>
    <n v="332"/>
    <x v="313"/>
    <s v="CUST332"/>
    <x v="1"/>
    <n v="58"/>
    <x v="2"/>
    <n v="4"/>
    <n v="300"/>
    <n v="1200"/>
  </r>
  <r>
    <n v="756"/>
    <x v="286"/>
    <s v="CUST756"/>
    <x v="0"/>
    <n v="62"/>
    <x v="2"/>
    <n v="4"/>
    <n v="300"/>
    <n v="1200"/>
  </r>
  <r>
    <n v="431"/>
    <x v="272"/>
    <s v="CUST431"/>
    <x v="1"/>
    <n v="63"/>
    <x v="2"/>
    <n v="4"/>
    <n v="300"/>
    <n v="1200"/>
  </r>
  <r>
    <n v="462"/>
    <x v="5"/>
    <s v="CUST462"/>
    <x v="1"/>
    <n v="63"/>
    <x v="2"/>
    <n v="4"/>
    <n v="300"/>
    <n v="1200"/>
  </r>
  <r>
    <n v="117"/>
    <x v="314"/>
    <s v="CUST117"/>
    <x v="1"/>
    <n v="19"/>
    <x v="2"/>
    <n v="2"/>
    <n v="500"/>
    <n v="1000"/>
  </r>
  <r>
    <n v="709"/>
    <x v="315"/>
    <s v="CUST709"/>
    <x v="0"/>
    <n v="19"/>
    <x v="2"/>
    <n v="2"/>
    <n v="500"/>
    <n v="1000"/>
  </r>
  <r>
    <n v="235"/>
    <x v="230"/>
    <s v="CUST235"/>
    <x v="0"/>
    <n v="23"/>
    <x v="2"/>
    <n v="2"/>
    <n v="500"/>
    <n v="1000"/>
  </r>
  <r>
    <n v="26"/>
    <x v="263"/>
    <s v="CUST026"/>
    <x v="0"/>
    <n v="28"/>
    <x v="2"/>
    <n v="2"/>
    <n v="500"/>
    <n v="1000"/>
  </r>
  <r>
    <n v="605"/>
    <x v="18"/>
    <s v="CUST605"/>
    <x v="1"/>
    <n v="37"/>
    <x v="2"/>
    <n v="2"/>
    <n v="500"/>
    <n v="1000"/>
  </r>
  <r>
    <n v="297"/>
    <x v="316"/>
    <s v="CUST297"/>
    <x v="0"/>
    <n v="40"/>
    <x v="2"/>
    <n v="2"/>
    <n v="500"/>
    <n v="1000"/>
  </r>
  <r>
    <n v="404"/>
    <x v="61"/>
    <s v="CUST404"/>
    <x v="1"/>
    <n v="46"/>
    <x v="2"/>
    <n v="2"/>
    <n v="500"/>
    <n v="1000"/>
  </r>
  <r>
    <n v="395"/>
    <x v="154"/>
    <s v="CUST395"/>
    <x v="1"/>
    <n v="50"/>
    <x v="2"/>
    <n v="2"/>
    <n v="500"/>
    <n v="1000"/>
  </r>
  <r>
    <n v="49"/>
    <x v="204"/>
    <s v="CUST049"/>
    <x v="0"/>
    <n v="54"/>
    <x v="2"/>
    <n v="2"/>
    <n v="500"/>
    <n v="1000"/>
  </r>
  <r>
    <n v="779"/>
    <x v="271"/>
    <s v="CUST779"/>
    <x v="0"/>
    <n v="56"/>
    <x v="2"/>
    <n v="2"/>
    <n v="500"/>
    <n v="1000"/>
  </r>
  <r>
    <n v="352"/>
    <x v="49"/>
    <s v="CUST352"/>
    <x v="1"/>
    <n v="57"/>
    <x v="2"/>
    <n v="2"/>
    <n v="500"/>
    <n v="1000"/>
  </r>
  <r>
    <n v="418"/>
    <x v="36"/>
    <s v="CUST418"/>
    <x v="0"/>
    <n v="60"/>
    <x v="2"/>
    <n v="2"/>
    <n v="500"/>
    <n v="1000"/>
  </r>
  <r>
    <n v="432"/>
    <x v="176"/>
    <s v="CUST432"/>
    <x v="0"/>
    <n v="60"/>
    <x v="2"/>
    <n v="2"/>
    <n v="500"/>
    <n v="1000"/>
  </r>
  <r>
    <n v="966"/>
    <x v="278"/>
    <s v="CUST966"/>
    <x v="1"/>
    <n v="60"/>
    <x v="2"/>
    <n v="2"/>
    <n v="500"/>
    <n v="1000"/>
  </r>
  <r>
    <n v="299"/>
    <x v="87"/>
    <s v="CUST299"/>
    <x v="1"/>
    <n v="61"/>
    <x v="2"/>
    <n v="2"/>
    <n v="500"/>
    <n v="1000"/>
  </r>
  <r>
    <n v="732"/>
    <x v="139"/>
    <s v="CUST732"/>
    <x v="1"/>
    <n v="61"/>
    <x v="2"/>
    <n v="2"/>
    <n v="500"/>
    <n v="1000"/>
  </r>
  <r>
    <n v="153"/>
    <x v="317"/>
    <s v="CUST153"/>
    <x v="1"/>
    <n v="63"/>
    <x v="2"/>
    <n v="2"/>
    <n v="500"/>
    <n v="1000"/>
  </r>
  <r>
    <n v="133"/>
    <x v="318"/>
    <s v="CUST133"/>
    <x v="1"/>
    <n v="20"/>
    <x v="2"/>
    <n v="3"/>
    <n v="300"/>
    <n v="900"/>
  </r>
  <r>
    <n v="409"/>
    <x v="60"/>
    <s v="CUST409"/>
    <x v="0"/>
    <n v="21"/>
    <x v="2"/>
    <n v="3"/>
    <n v="300"/>
    <n v="900"/>
  </r>
  <r>
    <n v="334"/>
    <x v="103"/>
    <s v="CUST334"/>
    <x v="1"/>
    <n v="31"/>
    <x v="2"/>
    <n v="3"/>
    <n v="300"/>
    <n v="900"/>
  </r>
  <r>
    <n v="509"/>
    <x v="195"/>
    <s v="CUST509"/>
    <x v="0"/>
    <n v="37"/>
    <x v="2"/>
    <n v="3"/>
    <n v="300"/>
    <n v="900"/>
  </r>
  <r>
    <n v="886"/>
    <x v="104"/>
    <s v="CUST886"/>
    <x v="1"/>
    <n v="37"/>
    <x v="2"/>
    <n v="3"/>
    <n v="300"/>
    <n v="900"/>
  </r>
  <r>
    <n v="766"/>
    <x v="20"/>
    <s v="CUST766"/>
    <x v="1"/>
    <n v="38"/>
    <x v="2"/>
    <n v="3"/>
    <n v="300"/>
    <n v="900"/>
  </r>
  <r>
    <n v="891"/>
    <x v="220"/>
    <s v="CUST891"/>
    <x v="1"/>
    <n v="41"/>
    <x v="2"/>
    <n v="3"/>
    <n v="300"/>
    <n v="900"/>
  </r>
  <r>
    <n v="911"/>
    <x v="215"/>
    <s v="CUST911"/>
    <x v="1"/>
    <n v="42"/>
    <x v="2"/>
    <n v="3"/>
    <n v="300"/>
    <n v="900"/>
  </r>
  <r>
    <n v="417"/>
    <x v="171"/>
    <s v="CUST417"/>
    <x v="1"/>
    <n v="43"/>
    <x v="2"/>
    <n v="3"/>
    <n v="300"/>
    <n v="900"/>
  </r>
  <r>
    <n v="430"/>
    <x v="122"/>
    <s v="CUST430"/>
    <x v="0"/>
    <n v="43"/>
    <x v="2"/>
    <n v="3"/>
    <n v="300"/>
    <n v="900"/>
  </r>
  <r>
    <n v="551"/>
    <x v="7"/>
    <s v="CUST551"/>
    <x v="1"/>
    <n v="45"/>
    <x v="2"/>
    <n v="3"/>
    <n v="300"/>
    <n v="900"/>
  </r>
  <r>
    <n v="407"/>
    <x v="319"/>
    <s v="CUST407"/>
    <x v="0"/>
    <n v="46"/>
    <x v="2"/>
    <n v="3"/>
    <n v="300"/>
    <n v="900"/>
  </r>
  <r>
    <n v="540"/>
    <x v="225"/>
    <s v="CUST540"/>
    <x v="0"/>
    <n v="46"/>
    <x v="2"/>
    <n v="3"/>
    <n v="300"/>
    <n v="900"/>
  </r>
  <r>
    <n v="243"/>
    <x v="4"/>
    <s v="CUST243"/>
    <x v="0"/>
    <n v="47"/>
    <x v="2"/>
    <n v="3"/>
    <n v="300"/>
    <n v="900"/>
  </r>
  <r>
    <n v="954"/>
    <x v="146"/>
    <s v="CUST954"/>
    <x v="0"/>
    <n v="50"/>
    <x v="2"/>
    <n v="3"/>
    <n v="300"/>
    <n v="900"/>
  </r>
  <r>
    <n v="154"/>
    <x v="126"/>
    <s v="CUST154"/>
    <x v="1"/>
    <n v="51"/>
    <x v="2"/>
    <n v="3"/>
    <n v="300"/>
    <n v="900"/>
  </r>
  <r>
    <n v="488"/>
    <x v="320"/>
    <s v="CUST488"/>
    <x v="0"/>
    <n v="51"/>
    <x v="2"/>
    <n v="3"/>
    <n v="300"/>
    <n v="900"/>
  </r>
  <r>
    <n v="48"/>
    <x v="96"/>
    <s v="CUST048"/>
    <x v="1"/>
    <n v="54"/>
    <x v="2"/>
    <n v="3"/>
    <n v="300"/>
    <n v="900"/>
  </r>
  <r>
    <n v="491"/>
    <x v="4"/>
    <s v="CUST491"/>
    <x v="0"/>
    <n v="60"/>
    <x v="2"/>
    <n v="3"/>
    <n v="300"/>
    <n v="900"/>
  </r>
  <r>
    <n v="678"/>
    <x v="88"/>
    <s v="CUST678"/>
    <x v="0"/>
    <n v="60"/>
    <x v="2"/>
    <n v="3"/>
    <n v="300"/>
    <n v="900"/>
  </r>
  <r>
    <n v="635"/>
    <x v="321"/>
    <s v="CUST635"/>
    <x v="0"/>
    <n v="63"/>
    <x v="2"/>
    <n v="3"/>
    <n v="300"/>
    <n v="900"/>
  </r>
  <r>
    <n v="594"/>
    <x v="116"/>
    <s v="CUST594"/>
    <x v="0"/>
    <n v="19"/>
    <x v="2"/>
    <n v="2"/>
    <n v="300"/>
    <n v="600"/>
  </r>
  <r>
    <n v="348"/>
    <x v="322"/>
    <s v="CUST348"/>
    <x v="0"/>
    <n v="35"/>
    <x v="2"/>
    <n v="2"/>
    <n v="300"/>
    <n v="600"/>
  </r>
  <r>
    <n v="464"/>
    <x v="217"/>
    <s v="CUST464"/>
    <x v="1"/>
    <n v="38"/>
    <x v="2"/>
    <n v="2"/>
    <n v="300"/>
    <n v="600"/>
  </r>
  <r>
    <n v="136"/>
    <x v="67"/>
    <s v="CUST136"/>
    <x v="1"/>
    <n v="44"/>
    <x v="2"/>
    <n v="2"/>
    <n v="300"/>
    <n v="600"/>
  </r>
  <r>
    <n v="158"/>
    <x v="106"/>
    <s v="CUST158"/>
    <x v="0"/>
    <n v="44"/>
    <x v="2"/>
    <n v="2"/>
    <n v="300"/>
    <n v="600"/>
  </r>
  <r>
    <n v="838"/>
    <x v="114"/>
    <s v="CUST838"/>
    <x v="1"/>
    <n v="47"/>
    <x v="2"/>
    <n v="2"/>
    <n v="300"/>
    <n v="600"/>
  </r>
  <r>
    <n v="386"/>
    <x v="125"/>
    <s v="CUST386"/>
    <x v="0"/>
    <n v="54"/>
    <x v="2"/>
    <n v="2"/>
    <n v="300"/>
    <n v="600"/>
  </r>
  <r>
    <n v="380"/>
    <x v="130"/>
    <s v="CUST380"/>
    <x v="1"/>
    <n v="56"/>
    <x v="2"/>
    <n v="2"/>
    <n v="300"/>
    <n v="600"/>
  </r>
  <r>
    <n v="9"/>
    <x v="323"/>
    <s v="CUST009"/>
    <x v="1"/>
    <n v="63"/>
    <x v="2"/>
    <n v="2"/>
    <n v="300"/>
    <n v="600"/>
  </r>
  <r>
    <n v="283"/>
    <x v="156"/>
    <s v="CUST283"/>
    <x v="0"/>
    <n v="18"/>
    <x v="2"/>
    <n v="1"/>
    <n v="500"/>
    <n v="500"/>
  </r>
  <r>
    <n v="867"/>
    <x v="111"/>
    <s v="CUST867"/>
    <x v="1"/>
    <n v="21"/>
    <x v="2"/>
    <n v="1"/>
    <n v="500"/>
    <n v="500"/>
  </r>
  <r>
    <n v="105"/>
    <x v="87"/>
    <s v="CUST105"/>
    <x v="0"/>
    <n v="22"/>
    <x v="2"/>
    <n v="1"/>
    <n v="500"/>
    <n v="500"/>
  </r>
  <r>
    <n v="667"/>
    <x v="121"/>
    <s v="CUST667"/>
    <x v="0"/>
    <n v="29"/>
    <x v="2"/>
    <n v="1"/>
    <n v="500"/>
    <n v="500"/>
  </r>
  <r>
    <n v="818"/>
    <x v="293"/>
    <s v="CUST818"/>
    <x v="1"/>
    <n v="30"/>
    <x v="2"/>
    <n v="1"/>
    <n v="500"/>
    <n v="500"/>
  </r>
  <r>
    <n v="353"/>
    <x v="248"/>
    <s v="CUST353"/>
    <x v="1"/>
    <n v="31"/>
    <x v="2"/>
    <n v="1"/>
    <n v="500"/>
    <n v="500"/>
  </r>
  <r>
    <n v="531"/>
    <x v="235"/>
    <s v="CUST531"/>
    <x v="1"/>
    <n v="31"/>
    <x v="2"/>
    <n v="1"/>
    <n v="500"/>
    <n v="500"/>
  </r>
  <r>
    <n v="784"/>
    <x v="324"/>
    <s v="CUST784"/>
    <x v="0"/>
    <n v="34"/>
    <x v="2"/>
    <n v="1"/>
    <n v="500"/>
    <n v="500"/>
  </r>
  <r>
    <n v="883"/>
    <x v="138"/>
    <s v="CUST883"/>
    <x v="1"/>
    <n v="40"/>
    <x v="2"/>
    <n v="1"/>
    <n v="500"/>
    <n v="500"/>
  </r>
  <r>
    <n v="254"/>
    <x v="48"/>
    <s v="CUST254"/>
    <x v="1"/>
    <n v="41"/>
    <x v="2"/>
    <n v="1"/>
    <n v="500"/>
    <n v="500"/>
  </r>
  <r>
    <n v="638"/>
    <x v="212"/>
    <s v="CUST638"/>
    <x v="1"/>
    <n v="46"/>
    <x v="2"/>
    <n v="1"/>
    <n v="500"/>
    <n v="500"/>
  </r>
  <r>
    <n v="322"/>
    <x v="187"/>
    <s v="CUST322"/>
    <x v="1"/>
    <n v="51"/>
    <x v="2"/>
    <n v="1"/>
    <n v="500"/>
    <n v="500"/>
  </r>
  <r>
    <n v="864"/>
    <x v="149"/>
    <s v="CUST864"/>
    <x v="0"/>
    <n v="51"/>
    <x v="2"/>
    <n v="1"/>
    <n v="500"/>
    <n v="500"/>
  </r>
  <r>
    <n v="91"/>
    <x v="44"/>
    <s v="CUST091"/>
    <x v="0"/>
    <n v="55"/>
    <x v="2"/>
    <n v="1"/>
    <n v="500"/>
    <n v="500"/>
  </r>
  <r>
    <n v="355"/>
    <x v="128"/>
    <s v="CUST355"/>
    <x v="0"/>
    <n v="55"/>
    <x v="2"/>
    <n v="1"/>
    <n v="500"/>
    <n v="500"/>
  </r>
  <r>
    <n v="914"/>
    <x v="46"/>
    <s v="CUST914"/>
    <x v="0"/>
    <n v="59"/>
    <x v="2"/>
    <n v="1"/>
    <n v="500"/>
    <n v="500"/>
  </r>
  <r>
    <n v="612"/>
    <x v="307"/>
    <s v="CUST612"/>
    <x v="0"/>
    <n v="61"/>
    <x v="2"/>
    <n v="1"/>
    <n v="500"/>
    <n v="500"/>
  </r>
  <r>
    <n v="514"/>
    <x v="144"/>
    <s v="CUST514"/>
    <x v="0"/>
    <n v="18"/>
    <x v="2"/>
    <n v="1"/>
    <n v="300"/>
    <n v="300"/>
  </r>
  <r>
    <n v="602"/>
    <x v="88"/>
    <s v="CUST602"/>
    <x v="0"/>
    <n v="20"/>
    <x v="2"/>
    <n v="1"/>
    <n v="300"/>
    <n v="300"/>
  </r>
  <r>
    <n v="881"/>
    <x v="55"/>
    <s v="CUST881"/>
    <x v="1"/>
    <n v="22"/>
    <x v="2"/>
    <n v="1"/>
    <n v="300"/>
    <n v="300"/>
  </r>
  <r>
    <n v="147"/>
    <x v="201"/>
    <s v="CUST147"/>
    <x v="1"/>
    <n v="23"/>
    <x v="2"/>
    <n v="1"/>
    <n v="300"/>
    <n v="300"/>
  </r>
  <r>
    <n v="68"/>
    <x v="145"/>
    <s v="CUST068"/>
    <x v="1"/>
    <n v="25"/>
    <x v="2"/>
    <n v="1"/>
    <n v="300"/>
    <n v="300"/>
  </r>
  <r>
    <n v="868"/>
    <x v="154"/>
    <s v="CUST868"/>
    <x v="0"/>
    <n v="25"/>
    <x v="2"/>
    <n v="1"/>
    <n v="300"/>
    <n v="300"/>
  </r>
  <r>
    <n v="925"/>
    <x v="325"/>
    <s v="CUST925"/>
    <x v="1"/>
    <n v="25"/>
    <x v="2"/>
    <n v="1"/>
    <n v="300"/>
    <n v="300"/>
  </r>
  <r>
    <n v="909"/>
    <x v="245"/>
    <s v="CUST909"/>
    <x v="1"/>
    <n v="26"/>
    <x v="2"/>
    <n v="1"/>
    <n v="300"/>
    <n v="300"/>
  </r>
  <r>
    <n v="179"/>
    <x v="206"/>
    <s v="CUST179"/>
    <x v="1"/>
    <n v="31"/>
    <x v="2"/>
    <n v="1"/>
    <n v="300"/>
    <n v="300"/>
  </r>
  <r>
    <n v="641"/>
    <x v="42"/>
    <s v="CUST641"/>
    <x v="0"/>
    <n v="40"/>
    <x v="2"/>
    <n v="1"/>
    <n v="300"/>
    <n v="300"/>
  </r>
  <r>
    <n v="270"/>
    <x v="81"/>
    <s v="CUST270"/>
    <x v="1"/>
    <n v="43"/>
    <x v="2"/>
    <n v="1"/>
    <n v="300"/>
    <n v="300"/>
  </r>
  <r>
    <n v="939"/>
    <x v="60"/>
    <s v="CUST939"/>
    <x v="0"/>
    <n v="46"/>
    <x v="2"/>
    <n v="1"/>
    <n v="300"/>
    <n v="300"/>
  </r>
  <r>
    <n v="821"/>
    <x v="273"/>
    <s v="CUST821"/>
    <x v="1"/>
    <n v="49"/>
    <x v="2"/>
    <n v="1"/>
    <n v="300"/>
    <n v="300"/>
  </r>
  <r>
    <n v="568"/>
    <x v="286"/>
    <s v="CUST568"/>
    <x v="0"/>
    <n v="51"/>
    <x v="2"/>
    <n v="1"/>
    <n v="300"/>
    <n v="300"/>
  </r>
  <r>
    <n v="445"/>
    <x v="326"/>
    <s v="CUST445"/>
    <x v="0"/>
    <n v="53"/>
    <x v="2"/>
    <n v="1"/>
    <n v="300"/>
    <n v="300"/>
  </r>
  <r>
    <n v="687"/>
    <x v="180"/>
    <s v="CUST687"/>
    <x v="0"/>
    <n v="53"/>
    <x v="2"/>
    <n v="1"/>
    <n v="300"/>
    <n v="300"/>
  </r>
  <r>
    <n v="252"/>
    <x v="271"/>
    <s v="CUST252"/>
    <x v="1"/>
    <n v="54"/>
    <x v="2"/>
    <n v="1"/>
    <n v="300"/>
    <n v="300"/>
  </r>
  <r>
    <n v="795"/>
    <x v="327"/>
    <s v="CUST795"/>
    <x v="1"/>
    <n v="57"/>
    <x v="2"/>
    <n v="1"/>
    <n v="300"/>
    <n v="300"/>
  </r>
  <r>
    <n v="725"/>
    <x v="47"/>
    <s v="CUST725"/>
    <x v="1"/>
    <n v="61"/>
    <x v="2"/>
    <n v="1"/>
    <n v="300"/>
    <n v="300"/>
  </r>
  <r>
    <n v="523"/>
    <x v="328"/>
    <s v="CUST523"/>
    <x v="0"/>
    <n v="62"/>
    <x v="2"/>
    <n v="1"/>
    <n v="300"/>
    <n v="300"/>
  </r>
  <r>
    <n v="596"/>
    <x v="17"/>
    <s v="CUST596"/>
    <x v="0"/>
    <n v="64"/>
    <x v="2"/>
    <n v="1"/>
    <n v="300"/>
    <n v="300"/>
  </r>
  <r>
    <n v="698"/>
    <x v="310"/>
    <s v="CUST698"/>
    <x v="0"/>
    <n v="64"/>
    <x v="2"/>
    <n v="1"/>
    <n v="300"/>
    <n v="300"/>
  </r>
  <r>
    <n v="300"/>
    <x v="230"/>
    <s v="CUST300"/>
    <x v="0"/>
    <n v="19"/>
    <x v="2"/>
    <n v="4"/>
    <n v="50"/>
    <n v="200"/>
  </r>
  <r>
    <n v="449"/>
    <x v="329"/>
    <s v="CUST449"/>
    <x v="1"/>
    <n v="25"/>
    <x v="2"/>
    <n v="4"/>
    <n v="50"/>
    <n v="200"/>
  </r>
  <r>
    <n v="971"/>
    <x v="131"/>
    <s v="CUST971"/>
    <x v="0"/>
    <n v="27"/>
    <x v="2"/>
    <n v="4"/>
    <n v="50"/>
    <n v="200"/>
  </r>
  <r>
    <n v="121"/>
    <x v="272"/>
    <s v="CUST121"/>
    <x v="0"/>
    <n v="28"/>
    <x v="2"/>
    <n v="4"/>
    <n v="50"/>
    <n v="200"/>
  </r>
  <r>
    <n v="686"/>
    <x v="310"/>
    <s v="CUST686"/>
    <x v="0"/>
    <n v="28"/>
    <x v="2"/>
    <n v="4"/>
    <n v="50"/>
    <n v="200"/>
  </r>
  <r>
    <n v="604"/>
    <x v="12"/>
    <s v="CUST604"/>
    <x v="0"/>
    <n v="29"/>
    <x v="2"/>
    <n v="4"/>
    <n v="50"/>
    <n v="200"/>
  </r>
  <r>
    <n v="209"/>
    <x v="64"/>
    <s v="CUST209"/>
    <x v="0"/>
    <n v="30"/>
    <x v="2"/>
    <n v="4"/>
    <n v="50"/>
    <n v="200"/>
  </r>
  <r>
    <n v="184"/>
    <x v="300"/>
    <s v="CUST184"/>
    <x v="1"/>
    <n v="31"/>
    <x v="2"/>
    <n v="4"/>
    <n v="50"/>
    <n v="200"/>
  </r>
  <r>
    <n v="208"/>
    <x v="79"/>
    <s v="CUST208"/>
    <x v="0"/>
    <n v="34"/>
    <x v="2"/>
    <n v="4"/>
    <n v="50"/>
    <n v="200"/>
  </r>
  <r>
    <n v="217"/>
    <x v="250"/>
    <s v="CUST217"/>
    <x v="0"/>
    <n v="35"/>
    <x v="2"/>
    <n v="4"/>
    <n v="50"/>
    <n v="200"/>
  </r>
  <r>
    <n v="546"/>
    <x v="46"/>
    <s v="CUST546"/>
    <x v="0"/>
    <n v="36"/>
    <x v="2"/>
    <n v="4"/>
    <n v="50"/>
    <n v="200"/>
  </r>
  <r>
    <n v="210"/>
    <x v="141"/>
    <s v="CUST210"/>
    <x v="1"/>
    <n v="37"/>
    <x v="2"/>
    <n v="4"/>
    <n v="50"/>
    <n v="200"/>
  </r>
  <r>
    <n v="428"/>
    <x v="43"/>
    <s v="CUST428"/>
    <x v="0"/>
    <n v="40"/>
    <x v="2"/>
    <n v="4"/>
    <n v="50"/>
    <n v="200"/>
  </r>
  <r>
    <n v="132"/>
    <x v="330"/>
    <s v="CUST132"/>
    <x v="1"/>
    <n v="42"/>
    <x v="2"/>
    <n v="4"/>
    <n v="50"/>
    <n v="200"/>
  </r>
  <r>
    <n v="820"/>
    <x v="130"/>
    <s v="CUST820"/>
    <x v="1"/>
    <n v="49"/>
    <x v="2"/>
    <n v="4"/>
    <n v="50"/>
    <n v="200"/>
  </r>
  <r>
    <n v="807"/>
    <x v="82"/>
    <s v="CUST807"/>
    <x v="0"/>
    <n v="50"/>
    <x v="2"/>
    <n v="4"/>
    <n v="50"/>
    <n v="200"/>
  </r>
  <r>
    <n v="569"/>
    <x v="247"/>
    <s v="CUST569"/>
    <x v="1"/>
    <n v="52"/>
    <x v="2"/>
    <n v="4"/>
    <n v="50"/>
    <n v="200"/>
  </r>
  <r>
    <n v="917"/>
    <x v="115"/>
    <s v="CUST917"/>
    <x v="0"/>
    <n v="57"/>
    <x v="2"/>
    <n v="4"/>
    <n v="50"/>
    <n v="200"/>
  </r>
  <r>
    <n v="411"/>
    <x v="96"/>
    <s v="CUST411"/>
    <x v="1"/>
    <n v="62"/>
    <x v="2"/>
    <n v="4"/>
    <n v="50"/>
    <n v="200"/>
  </r>
  <r>
    <n v="282"/>
    <x v="166"/>
    <s v="CUST282"/>
    <x v="0"/>
    <n v="64"/>
    <x v="2"/>
    <n v="4"/>
    <n v="50"/>
    <n v="200"/>
  </r>
  <r>
    <n v="695"/>
    <x v="56"/>
    <s v="CUST695"/>
    <x v="0"/>
    <n v="22"/>
    <x v="2"/>
    <n v="3"/>
    <n v="50"/>
    <n v="150"/>
  </r>
  <r>
    <n v="426"/>
    <x v="136"/>
    <s v="CUST426"/>
    <x v="1"/>
    <n v="23"/>
    <x v="2"/>
    <n v="3"/>
    <n v="50"/>
    <n v="150"/>
  </r>
  <r>
    <n v="999"/>
    <x v="131"/>
    <s v="CUST999"/>
    <x v="0"/>
    <n v="36"/>
    <x v="2"/>
    <n v="3"/>
    <n v="50"/>
    <n v="150"/>
  </r>
  <r>
    <n v="465"/>
    <x v="101"/>
    <s v="CUST465"/>
    <x v="0"/>
    <n v="43"/>
    <x v="2"/>
    <n v="3"/>
    <n v="50"/>
    <n v="150"/>
  </r>
  <r>
    <n v="502"/>
    <x v="101"/>
    <s v="CUST502"/>
    <x v="1"/>
    <n v="43"/>
    <x v="2"/>
    <n v="3"/>
    <n v="50"/>
    <n v="150"/>
  </r>
  <r>
    <n v="777"/>
    <x v="64"/>
    <s v="CUST777"/>
    <x v="1"/>
    <n v="48"/>
    <x v="2"/>
    <n v="3"/>
    <n v="50"/>
    <n v="150"/>
  </r>
  <r>
    <n v="993"/>
    <x v="94"/>
    <s v="CUST993"/>
    <x v="0"/>
    <n v="48"/>
    <x v="2"/>
    <n v="3"/>
    <n v="50"/>
    <n v="150"/>
  </r>
  <r>
    <n v="666"/>
    <x v="305"/>
    <s v="CUST666"/>
    <x v="1"/>
    <n v="51"/>
    <x v="2"/>
    <n v="3"/>
    <n v="50"/>
    <n v="150"/>
  </r>
  <r>
    <n v="728"/>
    <x v="7"/>
    <s v="CUST728"/>
    <x v="1"/>
    <n v="51"/>
    <x v="2"/>
    <n v="3"/>
    <n v="50"/>
    <n v="150"/>
  </r>
  <r>
    <n v="324"/>
    <x v="14"/>
    <s v="CUST324"/>
    <x v="0"/>
    <n v="52"/>
    <x v="2"/>
    <n v="3"/>
    <n v="50"/>
    <n v="150"/>
  </r>
  <r>
    <n v="813"/>
    <x v="38"/>
    <s v="CUST813"/>
    <x v="1"/>
    <n v="52"/>
    <x v="2"/>
    <n v="3"/>
    <n v="50"/>
    <n v="150"/>
  </r>
  <r>
    <n v="467"/>
    <x v="120"/>
    <s v="CUST467"/>
    <x v="0"/>
    <n v="53"/>
    <x v="2"/>
    <n v="3"/>
    <n v="50"/>
    <n v="150"/>
  </r>
  <r>
    <n v="327"/>
    <x v="206"/>
    <s v="CUST327"/>
    <x v="1"/>
    <n v="57"/>
    <x v="2"/>
    <n v="3"/>
    <n v="50"/>
    <n v="150"/>
  </r>
  <r>
    <n v="668"/>
    <x v="48"/>
    <s v="CUST668"/>
    <x v="0"/>
    <n v="62"/>
    <x v="2"/>
    <n v="3"/>
    <n v="50"/>
    <n v="150"/>
  </r>
  <r>
    <n v="671"/>
    <x v="286"/>
    <s v="CUST671"/>
    <x v="1"/>
    <n v="62"/>
    <x v="2"/>
    <n v="3"/>
    <n v="50"/>
    <n v="150"/>
  </r>
  <r>
    <n v="530"/>
    <x v="105"/>
    <s v="CUST530"/>
    <x v="0"/>
    <n v="18"/>
    <x v="2"/>
    <n v="4"/>
    <n v="30"/>
    <n v="120"/>
  </r>
  <r>
    <n v="769"/>
    <x v="211"/>
    <s v="CUST769"/>
    <x v="0"/>
    <n v="31"/>
    <x v="2"/>
    <n v="4"/>
    <n v="30"/>
    <n v="120"/>
  </r>
  <r>
    <n v="645"/>
    <x v="13"/>
    <s v="CUST645"/>
    <x v="0"/>
    <n v="35"/>
    <x v="2"/>
    <n v="4"/>
    <n v="30"/>
    <n v="120"/>
  </r>
  <r>
    <n v="519"/>
    <x v="204"/>
    <s v="CUST519"/>
    <x v="0"/>
    <n v="36"/>
    <x v="2"/>
    <n v="4"/>
    <n v="30"/>
    <n v="120"/>
  </r>
  <r>
    <n v="870"/>
    <x v="331"/>
    <s v="CUST870"/>
    <x v="0"/>
    <n v="46"/>
    <x v="2"/>
    <n v="4"/>
    <n v="30"/>
    <n v="120"/>
  </r>
  <r>
    <n v="1000"/>
    <x v="50"/>
    <s v="CUST1000"/>
    <x v="1"/>
    <n v="47"/>
    <x v="2"/>
    <n v="4"/>
    <n v="30"/>
    <n v="120"/>
  </r>
  <r>
    <n v="92"/>
    <x v="166"/>
    <s v="CUST092"/>
    <x v="0"/>
    <n v="51"/>
    <x v="2"/>
    <n v="4"/>
    <n v="30"/>
    <n v="120"/>
  </r>
  <r>
    <n v="640"/>
    <x v="80"/>
    <s v="CUST640"/>
    <x v="0"/>
    <n v="51"/>
    <x v="2"/>
    <n v="4"/>
    <n v="30"/>
    <n v="120"/>
  </r>
  <r>
    <n v="856"/>
    <x v="151"/>
    <s v="CUST856"/>
    <x v="1"/>
    <n v="54"/>
    <x v="2"/>
    <n v="4"/>
    <n v="30"/>
    <n v="120"/>
  </r>
  <r>
    <n v="425"/>
    <x v="26"/>
    <s v="CUST425"/>
    <x v="0"/>
    <n v="55"/>
    <x v="2"/>
    <n v="4"/>
    <n v="30"/>
    <n v="120"/>
  </r>
  <r>
    <n v="150"/>
    <x v="249"/>
    <s v="CUST150"/>
    <x v="0"/>
    <n v="58"/>
    <x v="2"/>
    <n v="4"/>
    <n v="30"/>
    <n v="120"/>
  </r>
  <r>
    <n v="957"/>
    <x v="247"/>
    <s v="CUST957"/>
    <x v="0"/>
    <n v="60"/>
    <x v="2"/>
    <n v="4"/>
    <n v="30"/>
    <n v="120"/>
  </r>
  <r>
    <n v="122"/>
    <x v="38"/>
    <s v="CUST122"/>
    <x v="1"/>
    <n v="64"/>
    <x v="2"/>
    <n v="4"/>
    <n v="30"/>
    <n v="120"/>
  </r>
  <r>
    <n v="173"/>
    <x v="148"/>
    <s v="CUST173"/>
    <x v="1"/>
    <n v="64"/>
    <x v="2"/>
    <n v="4"/>
    <n v="30"/>
    <n v="120"/>
  </r>
  <r>
    <n v="76"/>
    <x v="44"/>
    <s v="CUST076"/>
    <x v="0"/>
    <n v="22"/>
    <x v="2"/>
    <n v="2"/>
    <n v="50"/>
    <n v="100"/>
  </r>
  <r>
    <n v="858"/>
    <x v="178"/>
    <s v="CUST858"/>
    <x v="1"/>
    <n v="23"/>
    <x v="2"/>
    <n v="2"/>
    <n v="50"/>
    <n v="100"/>
  </r>
  <r>
    <n v="513"/>
    <x v="172"/>
    <s v="CUST513"/>
    <x v="1"/>
    <n v="24"/>
    <x v="2"/>
    <n v="4"/>
    <n v="25"/>
    <n v="100"/>
  </r>
  <r>
    <n v="583"/>
    <x v="285"/>
    <s v="CUST583"/>
    <x v="0"/>
    <n v="24"/>
    <x v="2"/>
    <n v="4"/>
    <n v="25"/>
    <n v="100"/>
  </r>
  <r>
    <n v="632"/>
    <x v="297"/>
    <s v="CUST632"/>
    <x v="0"/>
    <n v="26"/>
    <x v="2"/>
    <n v="4"/>
    <n v="25"/>
    <n v="100"/>
  </r>
  <r>
    <n v="831"/>
    <x v="170"/>
    <s v="CUST831"/>
    <x v="1"/>
    <n v="27"/>
    <x v="2"/>
    <n v="4"/>
    <n v="25"/>
    <n v="100"/>
  </r>
  <r>
    <n v="873"/>
    <x v="206"/>
    <s v="CUST873"/>
    <x v="0"/>
    <n v="27"/>
    <x v="2"/>
    <n v="4"/>
    <n v="25"/>
    <n v="100"/>
  </r>
  <r>
    <n v="8"/>
    <x v="162"/>
    <s v="CUST008"/>
    <x v="1"/>
    <n v="30"/>
    <x v="2"/>
    <n v="4"/>
    <n v="25"/>
    <n v="100"/>
  </r>
  <r>
    <n v="175"/>
    <x v="67"/>
    <s v="CUST175"/>
    <x v="0"/>
    <n v="31"/>
    <x v="2"/>
    <n v="4"/>
    <n v="25"/>
    <n v="100"/>
  </r>
  <r>
    <n v="455"/>
    <x v="147"/>
    <s v="CUST455"/>
    <x v="1"/>
    <n v="31"/>
    <x v="2"/>
    <n v="4"/>
    <n v="25"/>
    <n v="100"/>
  </r>
  <r>
    <n v="841"/>
    <x v="132"/>
    <s v="CUST841"/>
    <x v="1"/>
    <n v="31"/>
    <x v="2"/>
    <n v="4"/>
    <n v="25"/>
    <n v="100"/>
  </r>
  <r>
    <n v="53"/>
    <x v="332"/>
    <s v="CUST053"/>
    <x v="1"/>
    <n v="34"/>
    <x v="2"/>
    <n v="2"/>
    <n v="50"/>
    <n v="100"/>
  </r>
  <r>
    <n v="703"/>
    <x v="219"/>
    <s v="CUST703"/>
    <x v="1"/>
    <n v="34"/>
    <x v="2"/>
    <n v="2"/>
    <n v="50"/>
    <n v="100"/>
  </r>
  <r>
    <n v="227"/>
    <x v="46"/>
    <s v="CUST227"/>
    <x v="1"/>
    <n v="36"/>
    <x v="2"/>
    <n v="2"/>
    <n v="50"/>
    <n v="100"/>
  </r>
  <r>
    <n v="390"/>
    <x v="201"/>
    <s v="CUST390"/>
    <x v="1"/>
    <n v="39"/>
    <x v="2"/>
    <n v="2"/>
    <n v="50"/>
    <n v="100"/>
  </r>
  <r>
    <n v="458"/>
    <x v="185"/>
    <s v="CUST458"/>
    <x v="0"/>
    <n v="39"/>
    <x v="2"/>
    <n v="4"/>
    <n v="25"/>
    <n v="100"/>
  </r>
  <r>
    <n v="754"/>
    <x v="221"/>
    <s v="CUST754"/>
    <x v="0"/>
    <n v="43"/>
    <x v="2"/>
    <n v="4"/>
    <n v="25"/>
    <n v="100"/>
  </r>
  <r>
    <n v="329"/>
    <x v="187"/>
    <s v="CUST329"/>
    <x v="0"/>
    <n v="46"/>
    <x v="2"/>
    <n v="4"/>
    <n v="25"/>
    <n v="100"/>
  </r>
  <r>
    <n v="775"/>
    <x v="262"/>
    <s v="CUST775"/>
    <x v="0"/>
    <n v="46"/>
    <x v="2"/>
    <n v="4"/>
    <n v="25"/>
    <n v="100"/>
  </r>
  <r>
    <n v="619"/>
    <x v="59"/>
    <s v="CUST619"/>
    <x v="1"/>
    <n v="47"/>
    <x v="2"/>
    <n v="4"/>
    <n v="25"/>
    <n v="100"/>
  </r>
  <r>
    <n v="520"/>
    <x v="19"/>
    <s v="CUST520"/>
    <x v="0"/>
    <n v="49"/>
    <x v="2"/>
    <n v="4"/>
    <n v="25"/>
    <n v="100"/>
  </r>
  <r>
    <n v="759"/>
    <x v="331"/>
    <s v="CUST759"/>
    <x v="1"/>
    <n v="49"/>
    <x v="2"/>
    <n v="2"/>
    <n v="50"/>
    <n v="100"/>
  </r>
  <r>
    <n v="33"/>
    <x v="15"/>
    <s v="CUST033"/>
    <x v="0"/>
    <n v="50"/>
    <x v="2"/>
    <n v="2"/>
    <n v="50"/>
    <n v="100"/>
  </r>
  <r>
    <n v="564"/>
    <x v="164"/>
    <s v="CUST564"/>
    <x v="1"/>
    <n v="50"/>
    <x v="2"/>
    <n v="2"/>
    <n v="50"/>
    <n v="100"/>
  </r>
  <r>
    <n v="706"/>
    <x v="189"/>
    <s v="CUST706"/>
    <x v="1"/>
    <n v="51"/>
    <x v="2"/>
    <n v="4"/>
    <n v="25"/>
    <n v="100"/>
  </r>
  <r>
    <n v="888"/>
    <x v="92"/>
    <s v="CUST888"/>
    <x v="0"/>
    <n v="52"/>
    <x v="2"/>
    <n v="4"/>
    <n v="25"/>
    <n v="100"/>
  </r>
  <r>
    <n v="591"/>
    <x v="217"/>
    <s v="CUST591"/>
    <x v="1"/>
    <n v="53"/>
    <x v="2"/>
    <n v="4"/>
    <n v="25"/>
    <n v="100"/>
  </r>
  <r>
    <n v="83"/>
    <x v="317"/>
    <s v="CUST083"/>
    <x v="1"/>
    <n v="54"/>
    <x v="2"/>
    <n v="2"/>
    <n v="50"/>
    <n v="100"/>
  </r>
  <r>
    <n v="799"/>
    <x v="70"/>
    <s v="CUST799"/>
    <x v="1"/>
    <n v="56"/>
    <x v="2"/>
    <n v="2"/>
    <n v="50"/>
    <n v="100"/>
  </r>
  <r>
    <n v="823"/>
    <x v="212"/>
    <s v="CUST823"/>
    <x v="0"/>
    <n v="56"/>
    <x v="2"/>
    <n v="2"/>
    <n v="50"/>
    <n v="100"/>
  </r>
  <r>
    <n v="689"/>
    <x v="263"/>
    <s v="CUST689"/>
    <x v="1"/>
    <n v="57"/>
    <x v="2"/>
    <n v="2"/>
    <n v="50"/>
    <n v="100"/>
  </r>
  <r>
    <n v="810"/>
    <x v="258"/>
    <s v="CUST810"/>
    <x v="1"/>
    <n v="59"/>
    <x v="2"/>
    <n v="4"/>
    <n v="25"/>
    <n v="100"/>
  </r>
  <r>
    <n v="272"/>
    <x v="20"/>
    <s v="CUST272"/>
    <x v="0"/>
    <n v="61"/>
    <x v="2"/>
    <n v="2"/>
    <n v="50"/>
    <n v="100"/>
  </r>
  <r>
    <n v="216"/>
    <x v="135"/>
    <s v="CUST216"/>
    <x v="1"/>
    <n v="62"/>
    <x v="2"/>
    <n v="2"/>
    <n v="50"/>
    <n v="100"/>
  </r>
  <r>
    <n v="466"/>
    <x v="282"/>
    <s v="CUST466"/>
    <x v="1"/>
    <n v="63"/>
    <x v="2"/>
    <n v="4"/>
    <n v="25"/>
    <n v="100"/>
  </r>
  <r>
    <n v="897"/>
    <x v="333"/>
    <s v="CUST897"/>
    <x v="0"/>
    <n v="64"/>
    <x v="2"/>
    <n v="2"/>
    <n v="50"/>
    <n v="100"/>
  </r>
  <r>
    <n v="303"/>
    <x v="196"/>
    <s v="CUST303"/>
    <x v="1"/>
    <n v="19"/>
    <x v="2"/>
    <n v="3"/>
    <n v="30"/>
    <n v="90"/>
  </r>
  <r>
    <n v="317"/>
    <x v="187"/>
    <s v="CUST317"/>
    <x v="1"/>
    <n v="22"/>
    <x v="2"/>
    <n v="3"/>
    <n v="30"/>
    <n v="90"/>
  </r>
  <r>
    <n v="331"/>
    <x v="139"/>
    <s v="CUST331"/>
    <x v="1"/>
    <n v="28"/>
    <x v="2"/>
    <n v="3"/>
    <n v="30"/>
    <n v="90"/>
  </r>
  <r>
    <n v="643"/>
    <x v="328"/>
    <s v="CUST643"/>
    <x v="0"/>
    <n v="28"/>
    <x v="2"/>
    <n v="3"/>
    <n v="30"/>
    <n v="90"/>
  </r>
  <r>
    <n v="73"/>
    <x v="47"/>
    <s v="CUST073"/>
    <x v="1"/>
    <n v="29"/>
    <x v="2"/>
    <n v="3"/>
    <n v="30"/>
    <n v="90"/>
  </r>
  <r>
    <n v="913"/>
    <x v="236"/>
    <s v="CUST913"/>
    <x v="1"/>
    <n v="29"/>
    <x v="2"/>
    <n v="3"/>
    <n v="30"/>
    <n v="90"/>
  </r>
  <r>
    <n v="84"/>
    <x v="327"/>
    <s v="CUST084"/>
    <x v="0"/>
    <n v="38"/>
    <x v="2"/>
    <n v="3"/>
    <n v="30"/>
    <n v="90"/>
  </r>
  <r>
    <n v="918"/>
    <x v="42"/>
    <s v="CUST918"/>
    <x v="0"/>
    <n v="42"/>
    <x v="2"/>
    <n v="3"/>
    <n v="30"/>
    <n v="90"/>
  </r>
  <r>
    <n v="293"/>
    <x v="181"/>
    <s v="CUST293"/>
    <x v="1"/>
    <n v="50"/>
    <x v="2"/>
    <n v="3"/>
    <n v="30"/>
    <n v="90"/>
  </r>
  <r>
    <n v="219"/>
    <x v="334"/>
    <s v="CUST219"/>
    <x v="0"/>
    <n v="53"/>
    <x v="2"/>
    <n v="3"/>
    <n v="30"/>
    <n v="90"/>
  </r>
  <r>
    <n v="631"/>
    <x v="335"/>
    <s v="CUST631"/>
    <x v="1"/>
    <n v="56"/>
    <x v="2"/>
    <n v="3"/>
    <n v="30"/>
    <n v="90"/>
  </r>
  <r>
    <n v="812"/>
    <x v="118"/>
    <s v="CUST812"/>
    <x v="1"/>
    <n v="19"/>
    <x v="2"/>
    <n v="3"/>
    <n v="25"/>
    <n v="75"/>
  </r>
  <r>
    <n v="241"/>
    <x v="336"/>
    <s v="CUST241"/>
    <x v="0"/>
    <n v="23"/>
    <x v="2"/>
    <n v="3"/>
    <n v="25"/>
    <n v="75"/>
  </r>
  <r>
    <n v="948"/>
    <x v="59"/>
    <s v="CUST948"/>
    <x v="0"/>
    <n v="23"/>
    <x v="2"/>
    <n v="3"/>
    <n v="25"/>
    <n v="75"/>
  </r>
  <r>
    <n v="980"/>
    <x v="90"/>
    <s v="CUST980"/>
    <x v="0"/>
    <n v="31"/>
    <x v="2"/>
    <n v="3"/>
    <n v="25"/>
    <n v="75"/>
  </r>
  <r>
    <n v="977"/>
    <x v="262"/>
    <s v="CUST977"/>
    <x v="0"/>
    <n v="35"/>
    <x v="2"/>
    <n v="3"/>
    <n v="25"/>
    <n v="75"/>
  </r>
  <r>
    <n v="357"/>
    <x v="191"/>
    <s v="CUST357"/>
    <x v="0"/>
    <n v="40"/>
    <x v="2"/>
    <n v="3"/>
    <n v="25"/>
    <n v="75"/>
  </r>
  <r>
    <n v="552"/>
    <x v="323"/>
    <s v="CUST552"/>
    <x v="0"/>
    <n v="49"/>
    <x v="2"/>
    <n v="3"/>
    <n v="25"/>
    <n v="75"/>
  </r>
  <r>
    <n v="921"/>
    <x v="284"/>
    <s v="CUST921"/>
    <x v="1"/>
    <n v="51"/>
    <x v="2"/>
    <n v="3"/>
    <n v="25"/>
    <n v="75"/>
  </r>
  <r>
    <n v="620"/>
    <x v="156"/>
    <s v="CUST620"/>
    <x v="1"/>
    <n v="63"/>
    <x v="2"/>
    <n v="3"/>
    <n v="25"/>
    <n v="75"/>
  </r>
  <r>
    <n v="266"/>
    <x v="290"/>
    <s v="CUST266"/>
    <x v="0"/>
    <n v="19"/>
    <x v="2"/>
    <n v="2"/>
    <n v="30"/>
    <n v="60"/>
  </r>
  <r>
    <n v="370"/>
    <x v="221"/>
    <s v="CUST370"/>
    <x v="1"/>
    <n v="23"/>
    <x v="2"/>
    <n v="2"/>
    <n v="30"/>
    <n v="60"/>
  </r>
  <r>
    <n v="981"/>
    <x v="212"/>
    <s v="CUST981"/>
    <x v="0"/>
    <n v="30"/>
    <x v="2"/>
    <n v="2"/>
    <n v="30"/>
    <n v="60"/>
  </r>
  <r>
    <n v="593"/>
    <x v="130"/>
    <s v="CUST593"/>
    <x v="1"/>
    <n v="35"/>
    <x v="2"/>
    <n v="2"/>
    <n v="30"/>
    <n v="60"/>
  </r>
  <r>
    <n v="304"/>
    <x v="310"/>
    <s v="CUST304"/>
    <x v="0"/>
    <n v="37"/>
    <x v="2"/>
    <n v="2"/>
    <n v="30"/>
    <n v="60"/>
  </r>
  <r>
    <n v="588"/>
    <x v="152"/>
    <s v="CUST588"/>
    <x v="1"/>
    <n v="38"/>
    <x v="2"/>
    <n v="2"/>
    <n v="30"/>
    <n v="60"/>
  </r>
  <r>
    <n v="501"/>
    <x v="248"/>
    <s v="CUST501"/>
    <x v="1"/>
    <n v="39"/>
    <x v="2"/>
    <n v="2"/>
    <n v="30"/>
    <n v="60"/>
  </r>
  <r>
    <n v="123"/>
    <x v="26"/>
    <s v="CUST123"/>
    <x v="0"/>
    <n v="40"/>
    <x v="2"/>
    <n v="2"/>
    <n v="30"/>
    <n v="60"/>
  </r>
  <r>
    <n v="247"/>
    <x v="79"/>
    <s v="CUST247"/>
    <x v="1"/>
    <n v="41"/>
    <x v="2"/>
    <n v="2"/>
    <n v="30"/>
    <n v="60"/>
  </r>
  <r>
    <n v="959"/>
    <x v="69"/>
    <s v="CUST959"/>
    <x v="0"/>
    <n v="42"/>
    <x v="2"/>
    <n v="2"/>
    <n v="30"/>
    <n v="60"/>
  </r>
  <r>
    <n v="681"/>
    <x v="7"/>
    <s v="CUST681"/>
    <x v="0"/>
    <n v="43"/>
    <x v="2"/>
    <n v="2"/>
    <n v="30"/>
    <n v="60"/>
  </r>
  <r>
    <n v="289"/>
    <x v="258"/>
    <s v="CUST289"/>
    <x v="1"/>
    <n v="53"/>
    <x v="2"/>
    <n v="2"/>
    <n v="30"/>
    <n v="60"/>
  </r>
  <r>
    <n v="456"/>
    <x v="295"/>
    <s v="CUST456"/>
    <x v="1"/>
    <n v="57"/>
    <x v="2"/>
    <n v="2"/>
    <n v="30"/>
    <n v="60"/>
  </r>
  <r>
    <n v="992"/>
    <x v="47"/>
    <s v="CUST992"/>
    <x v="0"/>
    <n v="57"/>
    <x v="2"/>
    <n v="2"/>
    <n v="30"/>
    <n v="60"/>
  </r>
  <r>
    <n v="228"/>
    <x v="183"/>
    <s v="CUST228"/>
    <x v="0"/>
    <n v="59"/>
    <x v="2"/>
    <n v="2"/>
    <n v="30"/>
    <n v="60"/>
  </r>
  <r>
    <n v="556"/>
    <x v="192"/>
    <s v="CUST556"/>
    <x v="0"/>
    <n v="18"/>
    <x v="2"/>
    <n v="1"/>
    <n v="50"/>
    <n v="50"/>
  </r>
  <r>
    <n v="985"/>
    <x v="150"/>
    <s v="CUST985"/>
    <x v="0"/>
    <n v="19"/>
    <x v="2"/>
    <n v="2"/>
    <n v="25"/>
    <n v="50"/>
  </r>
  <r>
    <n v="892"/>
    <x v="104"/>
    <s v="CUST892"/>
    <x v="1"/>
    <n v="20"/>
    <x v="2"/>
    <n v="1"/>
    <n v="50"/>
    <n v="50"/>
  </r>
  <r>
    <n v="343"/>
    <x v="103"/>
    <s v="CUST343"/>
    <x v="1"/>
    <n v="21"/>
    <x v="2"/>
    <n v="2"/>
    <n v="25"/>
    <n v="50"/>
  </r>
  <r>
    <n v="446"/>
    <x v="280"/>
    <s v="CUST446"/>
    <x v="1"/>
    <n v="21"/>
    <x v="2"/>
    <n v="1"/>
    <n v="50"/>
    <n v="50"/>
  </r>
  <r>
    <n v="141"/>
    <x v="132"/>
    <s v="CUST141"/>
    <x v="0"/>
    <n v="22"/>
    <x v="2"/>
    <n v="1"/>
    <n v="50"/>
    <n v="50"/>
  </r>
  <r>
    <n v="339"/>
    <x v="92"/>
    <s v="CUST339"/>
    <x v="0"/>
    <n v="22"/>
    <x v="2"/>
    <n v="2"/>
    <n v="25"/>
    <n v="50"/>
  </r>
  <r>
    <n v="606"/>
    <x v="271"/>
    <s v="CUST606"/>
    <x v="1"/>
    <n v="22"/>
    <x v="2"/>
    <n v="1"/>
    <n v="50"/>
    <n v="50"/>
  </r>
  <r>
    <n v="762"/>
    <x v="169"/>
    <s v="CUST762"/>
    <x v="0"/>
    <n v="24"/>
    <x v="2"/>
    <n v="2"/>
    <n v="25"/>
    <n v="50"/>
  </r>
  <r>
    <n v="771"/>
    <x v="323"/>
    <s v="CUST771"/>
    <x v="1"/>
    <n v="24"/>
    <x v="2"/>
    <n v="2"/>
    <n v="25"/>
    <n v="50"/>
  </r>
  <r>
    <n v="866"/>
    <x v="271"/>
    <s v="CUST866"/>
    <x v="1"/>
    <n v="24"/>
    <x v="2"/>
    <n v="1"/>
    <n v="50"/>
    <n v="50"/>
  </r>
  <r>
    <n v="560"/>
    <x v="292"/>
    <s v="CUST560"/>
    <x v="0"/>
    <n v="25"/>
    <x v="2"/>
    <n v="1"/>
    <n v="50"/>
    <n v="50"/>
  </r>
  <r>
    <n v="307"/>
    <x v="210"/>
    <s v="CUST307"/>
    <x v="0"/>
    <n v="26"/>
    <x v="2"/>
    <n v="2"/>
    <n v="25"/>
    <n v="50"/>
  </r>
  <r>
    <n v="321"/>
    <x v="108"/>
    <s v="CUST321"/>
    <x v="0"/>
    <n v="26"/>
    <x v="2"/>
    <n v="2"/>
    <n v="25"/>
    <n v="50"/>
  </r>
  <r>
    <n v="863"/>
    <x v="269"/>
    <s v="CUST863"/>
    <x v="0"/>
    <n v="30"/>
    <x v="2"/>
    <n v="2"/>
    <n v="25"/>
    <n v="50"/>
  </r>
  <r>
    <n v="896"/>
    <x v="69"/>
    <s v="CUST896"/>
    <x v="0"/>
    <n v="30"/>
    <x v="2"/>
    <n v="2"/>
    <n v="25"/>
    <n v="50"/>
  </r>
  <r>
    <n v="851"/>
    <x v="70"/>
    <s v="CUST851"/>
    <x v="1"/>
    <n v="32"/>
    <x v="2"/>
    <n v="2"/>
    <n v="25"/>
    <n v="50"/>
  </r>
  <r>
    <n v="916"/>
    <x v="266"/>
    <s v="CUST916"/>
    <x v="0"/>
    <n v="32"/>
    <x v="2"/>
    <n v="1"/>
    <n v="50"/>
    <n v="50"/>
  </r>
  <r>
    <n v="890"/>
    <x v="64"/>
    <s v="CUST890"/>
    <x v="1"/>
    <n v="34"/>
    <x v="2"/>
    <n v="2"/>
    <n v="25"/>
    <n v="50"/>
  </r>
  <r>
    <n v="889"/>
    <x v="126"/>
    <s v="CUST889"/>
    <x v="0"/>
    <n v="35"/>
    <x v="2"/>
    <n v="1"/>
    <n v="50"/>
    <n v="50"/>
  </r>
  <r>
    <n v="694"/>
    <x v="241"/>
    <s v="CUST694"/>
    <x v="0"/>
    <n v="39"/>
    <x v="2"/>
    <n v="2"/>
    <n v="25"/>
    <n v="50"/>
  </r>
  <r>
    <n v="81"/>
    <x v="228"/>
    <s v="CUST081"/>
    <x v="1"/>
    <n v="40"/>
    <x v="2"/>
    <n v="1"/>
    <n v="50"/>
    <n v="50"/>
  </r>
  <r>
    <n v="113"/>
    <x v="337"/>
    <s v="CUST113"/>
    <x v="0"/>
    <n v="41"/>
    <x v="2"/>
    <n v="2"/>
    <n v="25"/>
    <n v="50"/>
  </r>
  <r>
    <n v="571"/>
    <x v="119"/>
    <s v="CUST571"/>
    <x v="0"/>
    <n v="41"/>
    <x v="2"/>
    <n v="1"/>
    <n v="50"/>
    <n v="50"/>
  </r>
  <r>
    <n v="922"/>
    <x v="338"/>
    <s v="CUST922"/>
    <x v="1"/>
    <n v="41"/>
    <x v="2"/>
    <n v="1"/>
    <n v="50"/>
    <n v="50"/>
  </r>
  <r>
    <n v="949"/>
    <x v="339"/>
    <s v="CUST949"/>
    <x v="0"/>
    <n v="41"/>
    <x v="2"/>
    <n v="2"/>
    <n v="25"/>
    <n v="50"/>
  </r>
  <r>
    <n v="434"/>
    <x v="262"/>
    <s v="CUST434"/>
    <x v="0"/>
    <n v="43"/>
    <x v="2"/>
    <n v="2"/>
    <n v="25"/>
    <n v="50"/>
  </r>
  <r>
    <n v="18"/>
    <x v="165"/>
    <s v="CUST018"/>
    <x v="0"/>
    <n v="47"/>
    <x v="2"/>
    <n v="2"/>
    <n v="25"/>
    <n v="50"/>
  </r>
  <r>
    <n v="246"/>
    <x v="35"/>
    <s v="CUST246"/>
    <x v="0"/>
    <n v="48"/>
    <x v="2"/>
    <n v="2"/>
    <n v="25"/>
    <n v="50"/>
  </r>
  <r>
    <n v="250"/>
    <x v="91"/>
    <s v="CUST250"/>
    <x v="1"/>
    <n v="48"/>
    <x v="2"/>
    <n v="1"/>
    <n v="50"/>
    <n v="50"/>
  </r>
  <r>
    <n v="134"/>
    <x v="340"/>
    <s v="CUST134"/>
    <x v="1"/>
    <n v="49"/>
    <x v="2"/>
    <n v="1"/>
    <n v="50"/>
    <n v="50"/>
  </r>
  <r>
    <n v="893"/>
    <x v="268"/>
    <s v="CUST893"/>
    <x v="1"/>
    <n v="49"/>
    <x v="2"/>
    <n v="1"/>
    <n v="50"/>
    <n v="50"/>
  </r>
  <r>
    <n v="586"/>
    <x v="238"/>
    <s v="CUST586"/>
    <x v="1"/>
    <n v="50"/>
    <x v="2"/>
    <n v="1"/>
    <n v="50"/>
    <n v="50"/>
  </r>
  <r>
    <n v="325"/>
    <x v="39"/>
    <s v="CUST325"/>
    <x v="0"/>
    <n v="52"/>
    <x v="2"/>
    <n v="2"/>
    <n v="25"/>
    <n v="50"/>
  </r>
  <r>
    <n v="780"/>
    <x v="162"/>
    <s v="CUST780"/>
    <x v="1"/>
    <n v="52"/>
    <x v="2"/>
    <n v="2"/>
    <n v="25"/>
    <n v="50"/>
  </r>
  <r>
    <n v="306"/>
    <x v="47"/>
    <s v="CUST306"/>
    <x v="1"/>
    <n v="54"/>
    <x v="2"/>
    <n v="1"/>
    <n v="50"/>
    <n v="50"/>
  </r>
  <r>
    <n v="562"/>
    <x v="97"/>
    <s v="CUST562"/>
    <x v="1"/>
    <n v="54"/>
    <x v="2"/>
    <n v="2"/>
    <n v="25"/>
    <n v="50"/>
  </r>
  <r>
    <n v="286"/>
    <x v="270"/>
    <s v="CUST286"/>
    <x v="1"/>
    <n v="55"/>
    <x v="2"/>
    <n v="2"/>
    <n v="25"/>
    <n v="50"/>
  </r>
  <r>
    <n v="63"/>
    <x v="105"/>
    <s v="CUST063"/>
    <x v="1"/>
    <n v="57"/>
    <x v="2"/>
    <n v="2"/>
    <n v="25"/>
    <n v="50"/>
  </r>
  <r>
    <n v="367"/>
    <x v="176"/>
    <s v="CUST367"/>
    <x v="0"/>
    <n v="57"/>
    <x v="2"/>
    <n v="1"/>
    <n v="50"/>
    <n v="50"/>
  </r>
  <r>
    <n v="685"/>
    <x v="291"/>
    <s v="CUST685"/>
    <x v="1"/>
    <n v="57"/>
    <x v="2"/>
    <n v="2"/>
    <n v="25"/>
    <n v="50"/>
  </r>
  <r>
    <n v="705"/>
    <x v="74"/>
    <s v="CUST705"/>
    <x v="1"/>
    <n v="60"/>
    <x v="2"/>
    <n v="2"/>
    <n v="25"/>
    <n v="50"/>
  </r>
  <r>
    <n v="857"/>
    <x v="341"/>
    <s v="CUST857"/>
    <x v="1"/>
    <n v="60"/>
    <x v="2"/>
    <n v="2"/>
    <n v="25"/>
    <n v="50"/>
  </r>
  <r>
    <n v="234"/>
    <x v="342"/>
    <s v="CUST234"/>
    <x v="0"/>
    <n v="62"/>
    <x v="2"/>
    <n v="2"/>
    <n v="25"/>
    <n v="50"/>
  </r>
  <r>
    <n v="629"/>
    <x v="343"/>
    <s v="CUST629"/>
    <x v="1"/>
    <n v="62"/>
    <x v="2"/>
    <n v="2"/>
    <n v="25"/>
    <n v="50"/>
  </r>
  <r>
    <n v="958"/>
    <x v="291"/>
    <s v="CUST958"/>
    <x v="1"/>
    <n v="62"/>
    <x v="2"/>
    <n v="2"/>
    <n v="25"/>
    <n v="50"/>
  </r>
  <r>
    <n v="574"/>
    <x v="113"/>
    <s v="CUST574"/>
    <x v="0"/>
    <n v="63"/>
    <x v="2"/>
    <n v="2"/>
    <n v="25"/>
    <n v="50"/>
  </r>
  <r>
    <n v="429"/>
    <x v="207"/>
    <s v="CUST429"/>
    <x v="1"/>
    <n v="64"/>
    <x v="2"/>
    <n v="2"/>
    <n v="25"/>
    <n v="50"/>
  </r>
  <r>
    <n v="882"/>
    <x v="111"/>
    <s v="CUST882"/>
    <x v="0"/>
    <n v="64"/>
    <x v="2"/>
    <n v="2"/>
    <n v="25"/>
    <n v="50"/>
  </r>
  <r>
    <n v="940"/>
    <x v="236"/>
    <s v="CUST940"/>
    <x v="0"/>
    <n v="20"/>
    <x v="2"/>
    <n v="1"/>
    <n v="30"/>
    <n v="30"/>
  </r>
  <r>
    <n v="926"/>
    <x v="41"/>
    <s v="CUST926"/>
    <x v="1"/>
    <n v="22"/>
    <x v="2"/>
    <n v="1"/>
    <n v="30"/>
    <n v="30"/>
  </r>
  <r>
    <n v="485"/>
    <x v="24"/>
    <s v="CUST485"/>
    <x v="1"/>
    <n v="24"/>
    <x v="2"/>
    <n v="1"/>
    <n v="30"/>
    <n v="30"/>
  </r>
  <r>
    <n v="772"/>
    <x v="344"/>
    <s v="CUST772"/>
    <x v="1"/>
    <n v="26"/>
    <x v="2"/>
    <n v="1"/>
    <n v="30"/>
    <n v="30"/>
  </r>
  <r>
    <n v="268"/>
    <x v="278"/>
    <s v="CUST268"/>
    <x v="0"/>
    <n v="28"/>
    <x v="2"/>
    <n v="1"/>
    <n v="30"/>
    <n v="30"/>
  </r>
  <r>
    <n v="901"/>
    <x v="299"/>
    <s v="CUST901"/>
    <x v="1"/>
    <n v="31"/>
    <x v="2"/>
    <n v="1"/>
    <n v="30"/>
    <n v="30"/>
  </r>
  <r>
    <n v="617"/>
    <x v="66"/>
    <s v="CUST617"/>
    <x v="1"/>
    <n v="34"/>
    <x v="2"/>
    <n v="1"/>
    <n v="30"/>
    <n v="30"/>
  </r>
  <r>
    <n v="140"/>
    <x v="36"/>
    <s v="CUST140"/>
    <x v="1"/>
    <n v="38"/>
    <x v="2"/>
    <n v="1"/>
    <n v="30"/>
    <n v="30"/>
  </r>
  <r>
    <n v="579"/>
    <x v="336"/>
    <s v="CUST579"/>
    <x v="0"/>
    <n v="38"/>
    <x v="2"/>
    <n v="1"/>
    <n v="30"/>
    <n v="30"/>
  </r>
  <r>
    <n v="659"/>
    <x v="296"/>
    <s v="CUST659"/>
    <x v="0"/>
    <n v="39"/>
    <x v="2"/>
    <n v="1"/>
    <n v="30"/>
    <n v="30"/>
  </r>
  <r>
    <n v="100"/>
    <x v="109"/>
    <s v="CUST100"/>
    <x v="1"/>
    <n v="41"/>
    <x v="2"/>
    <n v="1"/>
    <n v="30"/>
    <n v="30"/>
  </r>
  <r>
    <n v="29"/>
    <x v="275"/>
    <s v="CUST029"/>
    <x v="0"/>
    <n v="42"/>
    <x v="2"/>
    <n v="1"/>
    <n v="30"/>
    <n v="30"/>
  </r>
  <r>
    <n v="804"/>
    <x v="160"/>
    <s v="CUST804"/>
    <x v="1"/>
    <n v="42"/>
    <x v="2"/>
    <n v="1"/>
    <n v="30"/>
    <n v="30"/>
  </r>
  <r>
    <n v="489"/>
    <x v="4"/>
    <s v="CUST489"/>
    <x v="1"/>
    <n v="44"/>
    <x v="2"/>
    <n v="1"/>
    <n v="30"/>
    <n v="30"/>
  </r>
  <r>
    <n v="66"/>
    <x v="110"/>
    <s v="CUST066"/>
    <x v="0"/>
    <n v="45"/>
    <x v="2"/>
    <n v="1"/>
    <n v="30"/>
    <n v="30"/>
  </r>
  <r>
    <n v="451"/>
    <x v="317"/>
    <s v="CUST451"/>
    <x v="0"/>
    <n v="45"/>
    <x v="2"/>
    <n v="1"/>
    <n v="30"/>
    <n v="30"/>
  </r>
  <r>
    <n v="3"/>
    <x v="217"/>
    <s v="CUST003"/>
    <x v="1"/>
    <n v="50"/>
    <x v="2"/>
    <n v="1"/>
    <n v="30"/>
    <n v="30"/>
  </r>
  <r>
    <n v="90"/>
    <x v="130"/>
    <s v="CUST090"/>
    <x v="0"/>
    <n v="51"/>
    <x v="2"/>
    <n v="1"/>
    <n v="30"/>
    <n v="30"/>
  </r>
  <r>
    <n v="894"/>
    <x v="255"/>
    <s v="CUST894"/>
    <x v="1"/>
    <n v="52"/>
    <x v="2"/>
    <n v="1"/>
    <n v="30"/>
    <n v="30"/>
  </r>
  <r>
    <n v="45"/>
    <x v="329"/>
    <s v="CUST045"/>
    <x v="0"/>
    <n v="55"/>
    <x v="2"/>
    <n v="1"/>
    <n v="30"/>
    <n v="30"/>
  </r>
  <r>
    <n v="650"/>
    <x v="23"/>
    <s v="CUST650"/>
    <x v="1"/>
    <n v="55"/>
    <x v="2"/>
    <n v="1"/>
    <n v="30"/>
    <n v="30"/>
  </r>
  <r>
    <n v="345"/>
    <x v="185"/>
    <s v="CUST345"/>
    <x v="1"/>
    <n v="62"/>
    <x v="2"/>
    <n v="1"/>
    <n v="30"/>
    <n v="30"/>
  </r>
  <r>
    <n v="427"/>
    <x v="247"/>
    <s v="CUST427"/>
    <x v="1"/>
    <n v="25"/>
    <x v="2"/>
    <n v="1"/>
    <n v="25"/>
    <n v="25"/>
  </r>
  <r>
    <n v="544"/>
    <x v="88"/>
    <s v="CUST544"/>
    <x v="0"/>
    <n v="27"/>
    <x v="2"/>
    <n v="1"/>
    <n v="25"/>
    <n v="25"/>
  </r>
  <r>
    <n v="285"/>
    <x v="247"/>
    <s v="CUST285"/>
    <x v="0"/>
    <n v="31"/>
    <x v="2"/>
    <n v="1"/>
    <n v="25"/>
    <n v="25"/>
  </r>
  <r>
    <n v="486"/>
    <x v="104"/>
    <s v="CUST486"/>
    <x v="0"/>
    <n v="35"/>
    <x v="2"/>
    <n v="1"/>
    <n v="25"/>
    <n v="25"/>
  </r>
  <r>
    <n v="468"/>
    <x v="128"/>
    <s v="CUST468"/>
    <x v="1"/>
    <n v="40"/>
    <x v="2"/>
    <n v="1"/>
    <n v="25"/>
    <n v="25"/>
  </r>
  <r>
    <n v="744"/>
    <x v="80"/>
    <s v="CUST744"/>
    <x v="1"/>
    <n v="40"/>
    <x v="2"/>
    <n v="1"/>
    <n v="25"/>
    <n v="25"/>
  </r>
  <r>
    <n v="787"/>
    <x v="326"/>
    <s v="CUST787"/>
    <x v="1"/>
    <n v="41"/>
    <x v="2"/>
    <n v="1"/>
    <n v="25"/>
    <n v="25"/>
  </r>
  <r>
    <n v="347"/>
    <x v="180"/>
    <s v="CUST347"/>
    <x v="1"/>
    <n v="42"/>
    <x v="2"/>
    <n v="1"/>
    <n v="25"/>
    <n v="25"/>
  </r>
  <r>
    <n v="989"/>
    <x v="207"/>
    <s v="CUST989"/>
    <x v="0"/>
    <n v="44"/>
    <x v="2"/>
    <n v="1"/>
    <n v="25"/>
    <n v="25"/>
  </r>
  <r>
    <n v="907"/>
    <x v="243"/>
    <s v="CUST907"/>
    <x v="0"/>
    <n v="45"/>
    <x v="2"/>
    <n v="1"/>
    <n v="25"/>
    <n v="25"/>
  </r>
  <r>
    <n v="388"/>
    <x v="335"/>
    <s v="CUST388"/>
    <x v="1"/>
    <n v="50"/>
    <x v="2"/>
    <n v="1"/>
    <n v="25"/>
    <n v="25"/>
  </r>
  <r>
    <n v="201"/>
    <x v="270"/>
    <s v="CUST201"/>
    <x v="1"/>
    <n v="56"/>
    <x v="2"/>
    <n v="1"/>
    <n v="25"/>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71F01-460D-4891-8621-94724D57E8F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3:F7" firstHeaderRow="1" firstDataRow="1" firstDataCol="1"/>
  <pivotFields count="9">
    <pivotField showAll="0"/>
    <pivotField numFmtId="14" showAll="0">
      <items count="346">
        <item x="25"/>
        <item x="196"/>
        <item x="78"/>
        <item x="52"/>
        <item x="176"/>
        <item x="249"/>
        <item x="284"/>
        <item x="243"/>
        <item x="265"/>
        <item x="300"/>
        <item x="143"/>
        <item x="217"/>
        <item x="71"/>
        <item x="170"/>
        <item x="6"/>
        <item x="89"/>
        <item x="302"/>
        <item x="179"/>
        <item x="174"/>
        <item x="326"/>
        <item x="204"/>
        <item x="11"/>
        <item x="340"/>
        <item x="30"/>
        <item x="158"/>
        <item x="236"/>
        <item x="240"/>
        <item x="187"/>
        <item x="230"/>
        <item x="205"/>
        <item x="305"/>
        <item x="188"/>
        <item x="58"/>
        <item x="105"/>
        <item x="94"/>
        <item x="17"/>
        <item x="262"/>
        <item x="242"/>
        <item x="145"/>
        <item x="139"/>
        <item x="244"/>
        <item x="2"/>
        <item x="273"/>
        <item x="318"/>
        <item x="32"/>
        <item x="224"/>
        <item x="1"/>
        <item x="278"/>
        <item x="197"/>
        <item x="162"/>
        <item x="194"/>
        <item x="27"/>
        <item x="20"/>
        <item x="288"/>
        <item x="106"/>
        <item x="137"/>
        <item x="144"/>
        <item x="100"/>
        <item x="92"/>
        <item x="53"/>
        <item x="98"/>
        <item x="115"/>
        <item x="74"/>
        <item x="303"/>
        <item x="233"/>
        <item x="199"/>
        <item x="254"/>
        <item x="253"/>
        <item x="267"/>
        <item x="314"/>
        <item x="234"/>
        <item x="214"/>
        <item x="296"/>
        <item x="67"/>
        <item x="29"/>
        <item x="63"/>
        <item x="15"/>
        <item x="136"/>
        <item x="44"/>
        <item x="219"/>
        <item x="86"/>
        <item x="279"/>
        <item x="252"/>
        <item x="264"/>
        <item x="218"/>
        <item x="5"/>
        <item x="101"/>
        <item x="175"/>
        <item x="220"/>
        <item x="313"/>
        <item x="227"/>
        <item x="104"/>
        <item x="299"/>
        <item x="294"/>
        <item x="50"/>
        <item x="141"/>
        <item x="93"/>
        <item x="256"/>
        <item x="202"/>
        <item x="97"/>
        <item x="161"/>
        <item x="35"/>
        <item x="268"/>
        <item x="274"/>
        <item x="22"/>
        <item x="269"/>
        <item x="193"/>
        <item x="152"/>
        <item x="110"/>
        <item x="183"/>
        <item x="51"/>
        <item x="165"/>
        <item x="133"/>
        <item x="181"/>
        <item x="191"/>
        <item x="45"/>
        <item x="271"/>
        <item x="130"/>
        <item x="80"/>
        <item x="156"/>
        <item x="138"/>
        <item x="208"/>
        <item x="301"/>
        <item x="281"/>
        <item x="114"/>
        <item x="248"/>
        <item x="26"/>
        <item x="96"/>
        <item x="228"/>
        <item x="293"/>
        <item x="55"/>
        <item x="241"/>
        <item x="215"/>
        <item x="16"/>
        <item x="4"/>
        <item x="298"/>
        <item x="61"/>
        <item x="65"/>
        <item x="210"/>
        <item x="287"/>
        <item x="40"/>
        <item x="150"/>
        <item x="232"/>
        <item x="184"/>
        <item x="291"/>
        <item x="84"/>
        <item x="192"/>
        <item x="292"/>
        <item x="111"/>
        <item x="280"/>
        <item x="37"/>
        <item x="211"/>
        <item x="108"/>
        <item x="49"/>
        <item x="343"/>
        <item x="251"/>
        <item x="231"/>
        <item x="123"/>
        <item x="109"/>
        <item x="112"/>
        <item x="320"/>
        <item x="34"/>
        <item x="282"/>
        <item x="285"/>
        <item x="75"/>
        <item x="124"/>
        <item x="72"/>
        <item x="319"/>
        <item x="195"/>
        <item x="73"/>
        <item x="99"/>
        <item x="9"/>
        <item x="226"/>
        <item x="147"/>
        <item x="329"/>
        <item x="246"/>
        <item x="85"/>
        <item x="3"/>
        <item x="331"/>
        <item x="177"/>
        <item x="135"/>
        <item x="344"/>
        <item x="332"/>
        <item x="7"/>
        <item x="31"/>
        <item x="277"/>
        <item x="237"/>
        <item x="310"/>
        <item x="315"/>
        <item x="127"/>
        <item x="306"/>
        <item x="18"/>
        <item x="87"/>
        <item x="81"/>
        <item x="149"/>
        <item x="48"/>
        <item x="90"/>
        <item x="120"/>
        <item x="28"/>
        <item x="121"/>
        <item x="339"/>
        <item x="180"/>
        <item x="140"/>
        <item x="36"/>
        <item x="307"/>
        <item x="122"/>
        <item x="223"/>
        <item x="239"/>
        <item x="260"/>
        <item x="82"/>
        <item x="56"/>
        <item x="250"/>
        <item x="41"/>
        <item x="247"/>
        <item x="321"/>
        <item x="275"/>
        <item x="212"/>
        <item x="334"/>
        <item x="47"/>
        <item x="33"/>
        <item x="83"/>
        <item x="160"/>
        <item x="166"/>
        <item x="66"/>
        <item x="286"/>
        <item x="168"/>
        <item x="142"/>
        <item x="113"/>
        <item x="116"/>
        <item x="39"/>
        <item x="325"/>
        <item x="316"/>
        <item x="255"/>
        <item x="157"/>
        <item x="261"/>
        <item x="70"/>
        <item x="178"/>
        <item x="330"/>
        <item x="12"/>
        <item x="337"/>
        <item x="222"/>
        <item x="283"/>
        <item x="297"/>
        <item x="102"/>
        <item x="77"/>
        <item x="172"/>
        <item x="336"/>
        <item x="155"/>
        <item x="276"/>
        <item x="328"/>
        <item x="146"/>
        <item x="333"/>
        <item x="201"/>
        <item x="206"/>
        <item x="209"/>
        <item x="245"/>
        <item x="126"/>
        <item x="38"/>
        <item x="79"/>
        <item x="190"/>
        <item x="309"/>
        <item x="263"/>
        <item x="304"/>
        <item x="270"/>
        <item x="43"/>
        <item x="46"/>
        <item x="198"/>
        <item x="59"/>
        <item x="295"/>
        <item x="272"/>
        <item x="221"/>
        <item x="159"/>
        <item x="203"/>
        <item x="95"/>
        <item x="289"/>
        <item x="338"/>
        <item x="62"/>
        <item x="91"/>
        <item x="164"/>
        <item x="10"/>
        <item x="186"/>
        <item x="14"/>
        <item x="69"/>
        <item x="163"/>
        <item x="107"/>
        <item x="103"/>
        <item x="132"/>
        <item x="311"/>
        <item x="324"/>
        <item x="229"/>
        <item x="21"/>
        <item x="169"/>
        <item x="148"/>
        <item x="76"/>
        <item x="335"/>
        <item x="118"/>
        <item x="216"/>
        <item x="185"/>
        <item x="189"/>
        <item x="308"/>
        <item x="13"/>
        <item x="54"/>
        <item x="129"/>
        <item x="342"/>
        <item x="171"/>
        <item x="0"/>
        <item x="42"/>
        <item x="117"/>
        <item x="182"/>
        <item x="134"/>
        <item x="151"/>
        <item x="327"/>
        <item x="200"/>
        <item x="258"/>
        <item x="290"/>
        <item x="213"/>
        <item x="322"/>
        <item x="24"/>
        <item x="131"/>
        <item x="154"/>
        <item x="235"/>
        <item x="225"/>
        <item x="128"/>
        <item x="167"/>
        <item x="238"/>
        <item x="119"/>
        <item x="323"/>
        <item x="173"/>
        <item x="8"/>
        <item x="317"/>
        <item x="259"/>
        <item x="60"/>
        <item x="153"/>
        <item x="64"/>
        <item x="257"/>
        <item x="57"/>
        <item x="88"/>
        <item x="266"/>
        <item x="312"/>
        <item x="68"/>
        <item x="125"/>
        <item x="207"/>
        <item x="19"/>
        <item x="341"/>
        <item x="23"/>
        <item t="default"/>
      </items>
    </pivotField>
    <pivotField showAll="0"/>
    <pivotField showAll="0"/>
    <pivotField showAll="0"/>
    <pivotField axis="axisRow" showAll="0">
      <items count="4">
        <item x="0"/>
        <item x="1"/>
        <item x="2"/>
        <item t="default"/>
      </items>
    </pivotField>
    <pivotField showAll="0"/>
    <pivotField showAll="0"/>
    <pivotField dataField="1" showAll="0"/>
  </pivotFields>
  <rowFields count="1">
    <field x="5"/>
  </rowFields>
  <rowItems count="4">
    <i>
      <x/>
    </i>
    <i>
      <x v="1"/>
    </i>
    <i>
      <x v="2"/>
    </i>
    <i t="grand">
      <x/>
    </i>
  </rowItems>
  <colItems count="1">
    <i/>
  </colItems>
  <dataFields count="1">
    <dataField name="Sum of Total Amount" fld="8" baseField="0" baseItem="0" numFmtId="164"/>
  </dataFields>
  <formats count="7">
    <format dxfId="6">
      <pivotArea outline="0" collapsedLevelsAreSubtotals="1" fieldPosition="0"/>
    </format>
    <format dxfId="5">
      <pivotArea field="5" type="button" dataOnly="0" labelOnly="1" outline="0" axis="axisRow" fieldPosition="0"/>
    </format>
    <format dxfId="4">
      <pivotArea field="5" type="button" dataOnly="0" labelOnly="1" outline="0" axis="axisRow" fieldPosition="0"/>
    </format>
    <format dxfId="3">
      <pivotArea dataOnly="0" labelOnly="1" outline="0" axis="axisValues" fieldPosition="0"/>
    </format>
    <format dxfId="2">
      <pivotArea dataOnly="0" labelOnly="1" outline="0" axis="axisValues" fieldPosition="0"/>
    </format>
    <format dxfId="1">
      <pivotArea dataOnly="0" grandRow="1" fieldPosition="0"/>
    </format>
    <format dxfId="0">
      <pivotArea dataOnly="0" grandRow="1" fieldPosition="0"/>
    </format>
  </formats>
  <chartFormats count="4">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5" count="1" selected="0">
            <x v="1"/>
          </reference>
        </references>
      </pivotArea>
    </chartFormat>
    <chartFormat chart="14" format="4">
      <pivotArea type="data" outline="0" fieldPosition="0">
        <references count="2">
          <reference field="4294967294" count="1" selected="0">
            <x v="0"/>
          </reference>
          <reference field="5" count="1" selected="0">
            <x v="0"/>
          </reference>
        </references>
      </pivotArea>
    </chartFormat>
    <chartFormat chart="14"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AF3DBC-78EC-4F7A-AE45-24E95A82557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9">
    <pivotField showAll="0"/>
    <pivotField numFmtId="14" showAll="0">
      <items count="346">
        <item x="25"/>
        <item x="196"/>
        <item x="78"/>
        <item x="52"/>
        <item x="176"/>
        <item x="249"/>
        <item x="284"/>
        <item x="243"/>
        <item x="265"/>
        <item x="300"/>
        <item x="143"/>
        <item x="217"/>
        <item x="71"/>
        <item x="170"/>
        <item x="6"/>
        <item x="89"/>
        <item x="302"/>
        <item x="179"/>
        <item x="174"/>
        <item x="326"/>
        <item x="204"/>
        <item x="11"/>
        <item x="340"/>
        <item x="30"/>
        <item x="158"/>
        <item x="236"/>
        <item x="240"/>
        <item x="187"/>
        <item x="230"/>
        <item x="205"/>
        <item x="305"/>
        <item x="188"/>
        <item x="58"/>
        <item x="105"/>
        <item x="94"/>
        <item x="17"/>
        <item x="262"/>
        <item x="242"/>
        <item x="145"/>
        <item x="139"/>
        <item x="244"/>
        <item x="2"/>
        <item x="273"/>
        <item x="318"/>
        <item x="32"/>
        <item x="224"/>
        <item x="1"/>
        <item x="278"/>
        <item x="197"/>
        <item x="162"/>
        <item x="194"/>
        <item x="27"/>
        <item x="20"/>
        <item x="288"/>
        <item x="106"/>
        <item x="137"/>
        <item x="144"/>
        <item x="100"/>
        <item x="92"/>
        <item x="53"/>
        <item x="98"/>
        <item x="115"/>
        <item x="74"/>
        <item x="303"/>
        <item x="233"/>
        <item x="199"/>
        <item x="254"/>
        <item x="253"/>
        <item x="267"/>
        <item x="314"/>
        <item x="234"/>
        <item x="214"/>
        <item x="296"/>
        <item x="67"/>
        <item x="29"/>
        <item x="63"/>
        <item x="15"/>
        <item x="136"/>
        <item x="44"/>
        <item x="219"/>
        <item x="86"/>
        <item x="279"/>
        <item x="252"/>
        <item x="264"/>
        <item x="218"/>
        <item x="5"/>
        <item x="101"/>
        <item x="175"/>
        <item x="220"/>
        <item x="313"/>
        <item x="227"/>
        <item x="104"/>
        <item x="299"/>
        <item x="294"/>
        <item x="50"/>
        <item x="141"/>
        <item x="93"/>
        <item x="256"/>
        <item x="202"/>
        <item x="97"/>
        <item x="161"/>
        <item x="35"/>
        <item x="268"/>
        <item x="274"/>
        <item x="22"/>
        <item x="269"/>
        <item x="193"/>
        <item x="152"/>
        <item x="110"/>
        <item x="183"/>
        <item x="51"/>
        <item x="165"/>
        <item x="133"/>
        <item x="181"/>
        <item x="191"/>
        <item x="45"/>
        <item x="271"/>
        <item x="130"/>
        <item x="80"/>
        <item x="156"/>
        <item x="138"/>
        <item x="208"/>
        <item x="301"/>
        <item x="281"/>
        <item x="114"/>
        <item x="248"/>
        <item x="26"/>
        <item x="96"/>
        <item x="228"/>
        <item x="293"/>
        <item x="55"/>
        <item x="241"/>
        <item x="215"/>
        <item x="16"/>
        <item x="4"/>
        <item x="298"/>
        <item x="61"/>
        <item x="65"/>
        <item x="210"/>
        <item x="287"/>
        <item x="40"/>
        <item x="150"/>
        <item x="232"/>
        <item x="184"/>
        <item x="291"/>
        <item x="84"/>
        <item x="192"/>
        <item x="292"/>
        <item x="111"/>
        <item x="280"/>
        <item x="37"/>
        <item x="211"/>
        <item x="108"/>
        <item x="49"/>
        <item x="343"/>
        <item x="251"/>
        <item x="231"/>
        <item x="123"/>
        <item x="109"/>
        <item x="112"/>
        <item x="320"/>
        <item x="34"/>
        <item x="282"/>
        <item x="285"/>
        <item x="75"/>
        <item x="124"/>
        <item x="72"/>
        <item x="319"/>
        <item x="195"/>
        <item x="73"/>
        <item x="99"/>
        <item x="9"/>
        <item x="226"/>
        <item x="147"/>
        <item x="329"/>
        <item x="246"/>
        <item x="85"/>
        <item x="3"/>
        <item x="331"/>
        <item x="177"/>
        <item x="135"/>
        <item x="344"/>
        <item x="332"/>
        <item x="7"/>
        <item x="31"/>
        <item x="277"/>
        <item x="237"/>
        <item x="310"/>
        <item x="315"/>
        <item x="127"/>
        <item x="306"/>
        <item x="18"/>
        <item x="87"/>
        <item x="81"/>
        <item x="149"/>
        <item x="48"/>
        <item x="90"/>
        <item x="120"/>
        <item x="28"/>
        <item x="121"/>
        <item x="339"/>
        <item x="180"/>
        <item x="140"/>
        <item x="36"/>
        <item x="307"/>
        <item x="122"/>
        <item x="223"/>
        <item x="239"/>
        <item x="260"/>
        <item x="82"/>
        <item x="56"/>
        <item x="250"/>
        <item x="41"/>
        <item x="247"/>
        <item x="321"/>
        <item x="275"/>
        <item x="212"/>
        <item x="334"/>
        <item x="47"/>
        <item x="33"/>
        <item x="83"/>
        <item x="160"/>
        <item x="166"/>
        <item x="66"/>
        <item x="286"/>
        <item x="168"/>
        <item x="142"/>
        <item x="113"/>
        <item x="116"/>
        <item x="39"/>
        <item x="325"/>
        <item x="316"/>
        <item x="255"/>
        <item x="157"/>
        <item x="261"/>
        <item x="70"/>
        <item x="178"/>
        <item x="330"/>
        <item x="12"/>
        <item x="337"/>
        <item x="222"/>
        <item x="283"/>
        <item x="297"/>
        <item x="102"/>
        <item x="77"/>
        <item x="172"/>
        <item x="336"/>
        <item x="155"/>
        <item x="276"/>
        <item x="328"/>
        <item x="146"/>
        <item x="333"/>
        <item x="201"/>
        <item x="206"/>
        <item x="209"/>
        <item x="245"/>
        <item x="126"/>
        <item x="38"/>
        <item x="79"/>
        <item x="190"/>
        <item x="309"/>
        <item x="263"/>
        <item x="304"/>
        <item x="270"/>
        <item x="43"/>
        <item x="46"/>
        <item x="198"/>
        <item x="59"/>
        <item x="295"/>
        <item x="272"/>
        <item x="221"/>
        <item x="159"/>
        <item x="203"/>
        <item x="95"/>
        <item x="289"/>
        <item x="338"/>
        <item x="62"/>
        <item x="91"/>
        <item x="164"/>
        <item x="10"/>
        <item x="186"/>
        <item x="14"/>
        <item x="69"/>
        <item x="163"/>
        <item x="107"/>
        <item x="103"/>
        <item x="132"/>
        <item x="311"/>
        <item x="324"/>
        <item x="229"/>
        <item x="21"/>
        <item x="169"/>
        <item x="148"/>
        <item x="76"/>
        <item x="335"/>
        <item x="118"/>
        <item x="216"/>
        <item x="185"/>
        <item x="189"/>
        <item x="308"/>
        <item x="13"/>
        <item x="54"/>
        <item x="129"/>
        <item x="342"/>
        <item x="171"/>
        <item x="0"/>
        <item x="42"/>
        <item x="117"/>
        <item x="182"/>
        <item x="134"/>
        <item x="151"/>
        <item x="327"/>
        <item x="200"/>
        <item x="258"/>
        <item x="290"/>
        <item x="213"/>
        <item x="322"/>
        <item x="24"/>
        <item x="131"/>
        <item x="154"/>
        <item x="235"/>
        <item x="225"/>
        <item x="128"/>
        <item x="167"/>
        <item x="238"/>
        <item x="119"/>
        <item x="323"/>
        <item x="173"/>
        <item x="8"/>
        <item x="317"/>
        <item x="259"/>
        <item x="60"/>
        <item x="153"/>
        <item x="64"/>
        <item x="257"/>
        <item x="57"/>
        <item x="88"/>
        <item x="266"/>
        <item x="312"/>
        <item x="68"/>
        <item x="125"/>
        <item x="207"/>
        <item x="19"/>
        <item x="341"/>
        <item x="23"/>
        <item t="default"/>
      </items>
    </pivotField>
    <pivotField showAll="0"/>
    <pivotField showAll="0">
      <items count="3">
        <item x="0"/>
        <item x="1"/>
        <item t="default"/>
      </items>
    </pivotField>
    <pivotField showAll="0"/>
    <pivotField axis="axisRow" showAll="0">
      <items count="4">
        <item x="0"/>
        <item x="1"/>
        <item x="2"/>
        <item t="default"/>
      </items>
    </pivotField>
    <pivotField dataField="1" showAll="0"/>
    <pivotField showAll="0"/>
    <pivotField showAll="0"/>
  </pivotFields>
  <rowFields count="1">
    <field x="5"/>
  </rowFields>
  <rowItems count="4">
    <i>
      <x/>
    </i>
    <i>
      <x v="1"/>
    </i>
    <i>
      <x v="2"/>
    </i>
    <i t="grand">
      <x/>
    </i>
  </rowItems>
  <colItems count="1">
    <i/>
  </colItems>
  <dataFields count="1">
    <dataField name="Sum of Quantity" fld="6" baseField="0" baseItem="0" numFmtId="164"/>
  </dataFields>
  <formats count="9">
    <format dxfId="15">
      <pivotArea outline="0" collapsedLevelsAreSubtotals="1" fieldPosition="0"/>
    </format>
    <format dxfId="14">
      <pivotArea field="5" type="button" dataOnly="0" labelOnly="1" outline="0" axis="axisRow" fieldPosition="0"/>
    </format>
    <format dxfId="13">
      <pivotArea field="5" type="button" dataOnly="0" labelOnly="1" outline="0" axis="axisRow" fieldPosition="0"/>
    </format>
    <format dxfId="12">
      <pivotArea dataOnly="0" labelOnly="1" outline="0" axis="axisValues" fieldPosition="0"/>
    </format>
    <format dxfId="11">
      <pivotArea dataOnly="0" labelOnly="1" outline="0" axis="axisValues" fieldPosition="0"/>
    </format>
    <format dxfId="10">
      <pivotArea dataOnly="0" labelOnly="1" grandRow="1" outline="0" fieldPosition="0"/>
    </format>
    <format dxfId="9">
      <pivotArea dataOnly="0" labelOnly="1" grandRow="1" outline="0" fieldPosition="0"/>
    </format>
    <format dxfId="8">
      <pivotArea grandRow="1" outline="0" collapsedLevelsAreSubtotals="1" fieldPosition="0"/>
    </format>
    <format dxfId="7">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69C05A-B879-4640-B508-C5CA6A805A4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3:J6" firstHeaderRow="1" firstDataRow="1" firstDataCol="1"/>
  <pivotFields count="9">
    <pivotField showAll="0"/>
    <pivotField numFmtId="14" showAll="0">
      <items count="346">
        <item x="25"/>
        <item x="196"/>
        <item x="78"/>
        <item x="52"/>
        <item x="176"/>
        <item x="249"/>
        <item x="284"/>
        <item x="243"/>
        <item x="265"/>
        <item x="300"/>
        <item x="143"/>
        <item x="217"/>
        <item x="71"/>
        <item x="170"/>
        <item x="6"/>
        <item x="89"/>
        <item x="302"/>
        <item x="179"/>
        <item x="174"/>
        <item x="326"/>
        <item x="204"/>
        <item x="11"/>
        <item x="340"/>
        <item x="30"/>
        <item x="158"/>
        <item x="236"/>
        <item x="240"/>
        <item x="187"/>
        <item x="230"/>
        <item x="205"/>
        <item x="305"/>
        <item x="188"/>
        <item x="58"/>
        <item x="105"/>
        <item x="94"/>
        <item x="17"/>
        <item x="262"/>
        <item x="242"/>
        <item x="145"/>
        <item x="139"/>
        <item x="244"/>
        <item x="2"/>
        <item x="273"/>
        <item x="318"/>
        <item x="32"/>
        <item x="224"/>
        <item x="1"/>
        <item x="278"/>
        <item x="197"/>
        <item x="162"/>
        <item x="194"/>
        <item x="27"/>
        <item x="20"/>
        <item x="288"/>
        <item x="106"/>
        <item x="137"/>
        <item x="144"/>
        <item x="100"/>
        <item x="92"/>
        <item x="53"/>
        <item x="98"/>
        <item x="115"/>
        <item x="74"/>
        <item x="303"/>
        <item x="233"/>
        <item x="199"/>
        <item x="254"/>
        <item x="253"/>
        <item x="267"/>
        <item x="314"/>
        <item x="234"/>
        <item x="214"/>
        <item x="296"/>
        <item x="67"/>
        <item x="29"/>
        <item x="63"/>
        <item x="15"/>
        <item x="136"/>
        <item x="44"/>
        <item x="219"/>
        <item x="86"/>
        <item x="279"/>
        <item x="252"/>
        <item x="264"/>
        <item x="218"/>
        <item x="5"/>
        <item x="101"/>
        <item x="175"/>
        <item x="220"/>
        <item x="313"/>
        <item x="227"/>
        <item x="104"/>
        <item x="299"/>
        <item x="294"/>
        <item x="50"/>
        <item x="141"/>
        <item x="93"/>
        <item x="256"/>
        <item x="202"/>
        <item x="97"/>
        <item x="161"/>
        <item x="35"/>
        <item x="268"/>
        <item x="274"/>
        <item x="22"/>
        <item x="269"/>
        <item x="193"/>
        <item x="152"/>
        <item x="110"/>
        <item x="183"/>
        <item x="51"/>
        <item x="165"/>
        <item x="133"/>
        <item x="181"/>
        <item x="191"/>
        <item x="45"/>
        <item x="271"/>
        <item x="130"/>
        <item x="80"/>
        <item x="156"/>
        <item x="138"/>
        <item x="208"/>
        <item x="301"/>
        <item x="281"/>
        <item x="114"/>
        <item x="248"/>
        <item x="26"/>
        <item x="96"/>
        <item x="228"/>
        <item x="293"/>
        <item x="55"/>
        <item x="241"/>
        <item x="215"/>
        <item x="16"/>
        <item x="4"/>
        <item x="298"/>
        <item x="61"/>
        <item x="65"/>
        <item x="210"/>
        <item x="287"/>
        <item x="40"/>
        <item x="150"/>
        <item x="232"/>
        <item x="184"/>
        <item x="291"/>
        <item x="84"/>
        <item x="192"/>
        <item x="292"/>
        <item x="111"/>
        <item x="280"/>
        <item x="37"/>
        <item x="211"/>
        <item x="108"/>
        <item x="49"/>
        <item x="343"/>
        <item x="251"/>
        <item x="231"/>
        <item x="123"/>
        <item x="109"/>
        <item x="112"/>
        <item x="320"/>
        <item x="34"/>
        <item x="282"/>
        <item x="285"/>
        <item x="75"/>
        <item x="124"/>
        <item x="72"/>
        <item x="319"/>
        <item x="195"/>
        <item x="73"/>
        <item x="99"/>
        <item x="9"/>
        <item x="226"/>
        <item x="147"/>
        <item x="329"/>
        <item x="246"/>
        <item x="85"/>
        <item x="3"/>
        <item x="331"/>
        <item x="177"/>
        <item x="135"/>
        <item x="344"/>
        <item x="332"/>
        <item x="7"/>
        <item x="31"/>
        <item x="277"/>
        <item x="237"/>
        <item x="310"/>
        <item x="315"/>
        <item x="127"/>
        <item x="306"/>
        <item x="18"/>
        <item x="87"/>
        <item x="81"/>
        <item x="149"/>
        <item x="48"/>
        <item x="90"/>
        <item x="120"/>
        <item x="28"/>
        <item x="121"/>
        <item x="339"/>
        <item x="180"/>
        <item x="140"/>
        <item x="36"/>
        <item x="307"/>
        <item x="122"/>
        <item x="223"/>
        <item x="239"/>
        <item x="260"/>
        <item x="82"/>
        <item x="56"/>
        <item x="250"/>
        <item x="41"/>
        <item x="247"/>
        <item x="321"/>
        <item x="275"/>
        <item x="212"/>
        <item x="334"/>
        <item x="47"/>
        <item x="33"/>
        <item x="83"/>
        <item x="160"/>
        <item x="166"/>
        <item x="66"/>
        <item x="286"/>
        <item x="168"/>
        <item x="142"/>
        <item x="113"/>
        <item x="116"/>
        <item x="39"/>
        <item x="325"/>
        <item x="316"/>
        <item x="255"/>
        <item x="157"/>
        <item x="261"/>
        <item x="70"/>
        <item x="178"/>
        <item x="330"/>
        <item x="12"/>
        <item x="337"/>
        <item x="222"/>
        <item x="283"/>
        <item x="297"/>
        <item x="102"/>
        <item x="77"/>
        <item x="172"/>
        <item x="336"/>
        <item x="155"/>
        <item x="276"/>
        <item x="328"/>
        <item x="146"/>
        <item x="333"/>
        <item x="201"/>
        <item x="206"/>
        <item x="209"/>
        <item x="245"/>
        <item x="126"/>
        <item x="38"/>
        <item x="79"/>
        <item x="190"/>
        <item x="309"/>
        <item x="263"/>
        <item x="304"/>
        <item x="270"/>
        <item x="43"/>
        <item x="46"/>
        <item x="198"/>
        <item x="59"/>
        <item x="295"/>
        <item x="272"/>
        <item x="221"/>
        <item x="159"/>
        <item x="203"/>
        <item x="95"/>
        <item x="289"/>
        <item x="338"/>
        <item x="62"/>
        <item x="91"/>
        <item x="164"/>
        <item x="10"/>
        <item x="186"/>
        <item x="14"/>
        <item x="69"/>
        <item x="163"/>
        <item x="107"/>
        <item x="103"/>
        <item x="132"/>
        <item x="311"/>
        <item x="324"/>
        <item x="229"/>
        <item x="21"/>
        <item x="169"/>
        <item x="148"/>
        <item x="76"/>
        <item x="335"/>
        <item x="118"/>
        <item x="216"/>
        <item x="185"/>
        <item x="189"/>
        <item x="308"/>
        <item x="13"/>
        <item x="54"/>
        <item x="129"/>
        <item x="342"/>
        <item x="171"/>
        <item x="0"/>
        <item x="42"/>
        <item x="117"/>
        <item x="182"/>
        <item x="134"/>
        <item x="151"/>
        <item x="327"/>
        <item x="200"/>
        <item x="258"/>
        <item x="290"/>
        <item x="213"/>
        <item x="322"/>
        <item x="24"/>
        <item x="131"/>
        <item x="154"/>
        <item x="235"/>
        <item x="225"/>
        <item x="128"/>
        <item x="167"/>
        <item x="238"/>
        <item x="119"/>
        <item x="323"/>
        <item x="173"/>
        <item x="8"/>
        <item x="317"/>
        <item x="259"/>
        <item x="60"/>
        <item x="153"/>
        <item x="64"/>
        <item x="257"/>
        <item x="57"/>
        <item x="88"/>
        <item x="266"/>
        <item x="312"/>
        <item x="68"/>
        <item x="125"/>
        <item x="207"/>
        <item x="19"/>
        <item x="341"/>
        <item x="23"/>
        <item t="default"/>
      </items>
    </pivotField>
    <pivotField showAll="0"/>
    <pivotField axis="axisRow" showAll="0">
      <items count="3">
        <item x="0"/>
        <item x="1"/>
        <item t="default"/>
      </items>
    </pivotField>
    <pivotField showAll="0"/>
    <pivotField showAll="0">
      <items count="4">
        <item x="0"/>
        <item x="1"/>
        <item x="2"/>
        <item t="default"/>
      </items>
    </pivotField>
    <pivotField showAll="0"/>
    <pivotField showAll="0"/>
    <pivotField dataField="1" showAll="0"/>
  </pivotFields>
  <rowFields count="1">
    <field x="3"/>
  </rowFields>
  <rowItems count="3">
    <i>
      <x/>
    </i>
    <i>
      <x v="1"/>
    </i>
    <i t="grand">
      <x/>
    </i>
  </rowItems>
  <colItems count="1">
    <i/>
  </colItems>
  <dataFields count="1">
    <dataField name="Sum of Total Amount" fld="8" baseField="0" baseItem="0" numFmtId="164"/>
  </dataFields>
  <formats count="9">
    <format dxfId="24">
      <pivotArea outline="0" collapsedLevelsAreSubtotals="1" fieldPosition="0"/>
    </format>
    <format dxfId="23">
      <pivotArea field="3" type="button" dataOnly="0" labelOnly="1" outline="0" axis="axisRow" fieldPosition="0"/>
    </format>
    <format dxfId="22">
      <pivotArea field="3" type="button" dataOnly="0" labelOnly="1" outline="0" axis="axisRow" fieldPosition="0"/>
    </format>
    <format dxfId="21">
      <pivotArea dataOnly="0" labelOnly="1" outline="0" axis="axisValues" fieldPosition="0"/>
    </format>
    <format dxfId="20">
      <pivotArea dataOnly="0" labelOnly="1" outline="0" axis="axisValues" fieldPosition="0"/>
    </format>
    <format dxfId="19">
      <pivotArea dataOnly="0" labelOnly="1" grandRow="1" outline="0" fieldPosition="0"/>
    </format>
    <format dxfId="18">
      <pivotArea dataOnly="0" labelOnly="1" grandRow="1" outline="0" fieldPosition="0"/>
    </format>
    <format dxfId="17">
      <pivotArea grandRow="1" outline="0" collapsedLevelsAreSubtotals="1" fieldPosition="0"/>
    </format>
    <format dxfId="16">
      <pivotArea grandRow="1" outline="0" collapsedLevelsAreSubtotals="1" fieldPosition="0"/>
    </format>
  </formats>
  <chartFormats count="1">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6C0F7C4-0396-481D-B4CE-9A067EB3026E}" sourceName="Product Category">
  <pivotTables>
    <pivotTable tabId="9" name="PivotTable7"/>
    <pivotTable tabId="9" name="PivotTable8"/>
    <pivotTable tabId="9" name="PivotTable9"/>
  </pivotTables>
  <data>
    <tabular pivotCacheId="51133430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6F31B45-F8FD-49B9-9024-10E5B15E398A}" sourceName="Gender">
  <pivotTables>
    <pivotTable tabId="9" name="PivotTable7"/>
  </pivotTables>
  <data>
    <tabular pivotCacheId="51133430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0D36BD6-29ED-45F7-90E6-2D446298FF9D}" sourceName="Date">
  <pivotTables>
    <pivotTable tabId="9" name="PivotTable7"/>
    <pivotTable tabId="9" name="PivotTable8"/>
    <pivotTable tabId="9" name="PivotTable9"/>
  </pivotTables>
  <data>
    <tabular pivotCacheId="511334305">
      <items count="345">
        <i x="25" s="1"/>
        <i x="196" s="1"/>
        <i x="78" s="1"/>
        <i x="52" s="1"/>
        <i x="176" s="1"/>
        <i x="249" s="1"/>
        <i x="284" s="1"/>
        <i x="243" s="1"/>
        <i x="265" s="1"/>
        <i x="300" s="1"/>
        <i x="143" s="1"/>
        <i x="217" s="1"/>
        <i x="71" s="1"/>
        <i x="170" s="1"/>
        <i x="6" s="1"/>
        <i x="89" s="1"/>
        <i x="302" s="1"/>
        <i x="179" s="1"/>
        <i x="174" s="1"/>
        <i x="326" s="1"/>
        <i x="204" s="1"/>
        <i x="11" s="1"/>
        <i x="340" s="1"/>
        <i x="30" s="1"/>
        <i x="158" s="1"/>
        <i x="236" s="1"/>
        <i x="240" s="1"/>
        <i x="187" s="1"/>
        <i x="230" s="1"/>
        <i x="205" s="1"/>
        <i x="305" s="1"/>
        <i x="188" s="1"/>
        <i x="58" s="1"/>
        <i x="105" s="1"/>
        <i x="94" s="1"/>
        <i x="17" s="1"/>
        <i x="262" s="1"/>
        <i x="242" s="1"/>
        <i x="145" s="1"/>
        <i x="139" s="1"/>
        <i x="244" s="1"/>
        <i x="2" s="1"/>
        <i x="273" s="1"/>
        <i x="318" s="1"/>
        <i x="32" s="1"/>
        <i x="224" s="1"/>
        <i x="1" s="1"/>
        <i x="278" s="1"/>
        <i x="197" s="1"/>
        <i x="162" s="1"/>
        <i x="194" s="1"/>
        <i x="27" s="1"/>
        <i x="20" s="1"/>
        <i x="288" s="1"/>
        <i x="106" s="1"/>
        <i x="137" s="1"/>
        <i x="144" s="1"/>
        <i x="100" s="1"/>
        <i x="92" s="1"/>
        <i x="53" s="1"/>
        <i x="98" s="1"/>
        <i x="115" s="1"/>
        <i x="74" s="1"/>
        <i x="303" s="1"/>
        <i x="233" s="1"/>
        <i x="199" s="1"/>
        <i x="254" s="1"/>
        <i x="253" s="1"/>
        <i x="267" s="1"/>
        <i x="314" s="1"/>
        <i x="234" s="1"/>
        <i x="214" s="1"/>
        <i x="296" s="1"/>
        <i x="67" s="1"/>
        <i x="29" s="1"/>
        <i x="63" s="1"/>
        <i x="15" s="1"/>
        <i x="136" s="1"/>
        <i x="44" s="1"/>
        <i x="219" s="1"/>
        <i x="86" s="1"/>
        <i x="279" s="1"/>
        <i x="252" s="1"/>
        <i x="264" s="1"/>
        <i x="218" s="1"/>
        <i x="5" s="1"/>
        <i x="101" s="1"/>
        <i x="175" s="1"/>
        <i x="220" s="1"/>
        <i x="313" s="1"/>
        <i x="227" s="1"/>
        <i x="104" s="1"/>
        <i x="299" s="1"/>
        <i x="294" s="1"/>
        <i x="50" s="1"/>
        <i x="141" s="1"/>
        <i x="93" s="1"/>
        <i x="256" s="1"/>
        <i x="202" s="1"/>
        <i x="97" s="1"/>
        <i x="161" s="1"/>
        <i x="35" s="1"/>
        <i x="268" s="1"/>
        <i x="274" s="1"/>
        <i x="22" s="1"/>
        <i x="269" s="1"/>
        <i x="193" s="1"/>
        <i x="152" s="1"/>
        <i x="110" s="1"/>
        <i x="183" s="1"/>
        <i x="51" s="1"/>
        <i x="165" s="1"/>
        <i x="133" s="1"/>
        <i x="181" s="1"/>
        <i x="191" s="1"/>
        <i x="45" s="1"/>
        <i x="271" s="1"/>
        <i x="130" s="1"/>
        <i x="80" s="1"/>
        <i x="156" s="1"/>
        <i x="138" s="1"/>
        <i x="208" s="1"/>
        <i x="301" s="1"/>
        <i x="281" s="1"/>
        <i x="114" s="1"/>
        <i x="248" s="1"/>
        <i x="26" s="1"/>
        <i x="96" s="1"/>
        <i x="228" s="1"/>
        <i x="293" s="1"/>
        <i x="55" s="1"/>
        <i x="241" s="1"/>
        <i x="215" s="1"/>
        <i x="16" s="1"/>
        <i x="4" s="1"/>
        <i x="298" s="1"/>
        <i x="61" s="1"/>
        <i x="65" s="1"/>
        <i x="210" s="1"/>
        <i x="287" s="1"/>
        <i x="40" s="1"/>
        <i x="150" s="1"/>
        <i x="232" s="1"/>
        <i x="184" s="1"/>
        <i x="291" s="1"/>
        <i x="84" s="1"/>
        <i x="192" s="1"/>
        <i x="292" s="1"/>
        <i x="111" s="1"/>
        <i x="280" s="1"/>
        <i x="37" s="1"/>
        <i x="211" s="1"/>
        <i x="108" s="1"/>
        <i x="49" s="1"/>
        <i x="343" s="1"/>
        <i x="251" s="1"/>
        <i x="231" s="1"/>
        <i x="123" s="1"/>
        <i x="109" s="1"/>
        <i x="112" s="1"/>
        <i x="320" s="1"/>
        <i x="34" s="1"/>
        <i x="282" s="1"/>
        <i x="285" s="1"/>
        <i x="75" s="1"/>
        <i x="124" s="1"/>
        <i x="72" s="1"/>
        <i x="319" s="1"/>
        <i x="195" s="1"/>
        <i x="73" s="1"/>
        <i x="99" s="1"/>
        <i x="9" s="1"/>
        <i x="226" s="1"/>
        <i x="147" s="1"/>
        <i x="329" s="1"/>
        <i x="246" s="1"/>
        <i x="85" s="1"/>
        <i x="3" s="1"/>
        <i x="331" s="1"/>
        <i x="177" s="1"/>
        <i x="135" s="1"/>
        <i x="344" s="1"/>
        <i x="332" s="1"/>
        <i x="7" s="1"/>
        <i x="31" s="1"/>
        <i x="277" s="1"/>
        <i x="237" s="1"/>
        <i x="310" s="1"/>
        <i x="315" s="1"/>
        <i x="127" s="1"/>
        <i x="306" s="1"/>
        <i x="18" s="1"/>
        <i x="87" s="1"/>
        <i x="81" s="1"/>
        <i x="149" s="1"/>
        <i x="48" s="1"/>
        <i x="90" s="1"/>
        <i x="120" s="1"/>
        <i x="28" s="1"/>
        <i x="121" s="1"/>
        <i x="339" s="1"/>
        <i x="180" s="1"/>
        <i x="140" s="1"/>
        <i x="36" s="1"/>
        <i x="307" s="1"/>
        <i x="122" s="1"/>
        <i x="223" s="1"/>
        <i x="239" s="1"/>
        <i x="260" s="1"/>
        <i x="82" s="1"/>
        <i x="56" s="1"/>
        <i x="250" s="1"/>
        <i x="41" s="1"/>
        <i x="247" s="1"/>
        <i x="321" s="1"/>
        <i x="275" s="1"/>
        <i x="212" s="1"/>
        <i x="334" s="1"/>
        <i x="47" s="1"/>
        <i x="33" s="1"/>
        <i x="83" s="1"/>
        <i x="160" s="1"/>
        <i x="166" s="1"/>
        <i x="66" s="1"/>
        <i x="286" s="1"/>
        <i x="168" s="1"/>
        <i x="142" s="1"/>
        <i x="113" s="1"/>
        <i x="116" s="1"/>
        <i x="39" s="1"/>
        <i x="325" s="1"/>
        <i x="316" s="1"/>
        <i x="255" s="1"/>
        <i x="157" s="1"/>
        <i x="261" s="1"/>
        <i x="70" s="1"/>
        <i x="178" s="1"/>
        <i x="330" s="1"/>
        <i x="12" s="1"/>
        <i x="337" s="1"/>
        <i x="222" s="1"/>
        <i x="283" s="1"/>
        <i x="297" s="1"/>
        <i x="102" s="1"/>
        <i x="77" s="1"/>
        <i x="172" s="1"/>
        <i x="336" s="1"/>
        <i x="155" s="1"/>
        <i x="276" s="1"/>
        <i x="328" s="1"/>
        <i x="146" s="1"/>
        <i x="333" s="1"/>
        <i x="201" s="1"/>
        <i x="206" s="1"/>
        <i x="209" s="1"/>
        <i x="245" s="1"/>
        <i x="126" s="1"/>
        <i x="38" s="1"/>
        <i x="79" s="1"/>
        <i x="190" s="1"/>
        <i x="309" s="1"/>
        <i x="263" s="1"/>
        <i x="304" s="1"/>
        <i x="270" s="1"/>
        <i x="43" s="1"/>
        <i x="46" s="1"/>
        <i x="198" s="1"/>
        <i x="59" s="1"/>
        <i x="295" s="1"/>
        <i x="272" s="1"/>
        <i x="221" s="1"/>
        <i x="159" s="1"/>
        <i x="203" s="1"/>
        <i x="95" s="1"/>
        <i x="289" s="1"/>
        <i x="338" s="1"/>
        <i x="62" s="1"/>
        <i x="91" s="1"/>
        <i x="164" s="1"/>
        <i x="10" s="1"/>
        <i x="186" s="1"/>
        <i x="14" s="1"/>
        <i x="69" s="1"/>
        <i x="163" s="1"/>
        <i x="107" s="1"/>
        <i x="103" s="1"/>
        <i x="132" s="1"/>
        <i x="311" s="1"/>
        <i x="324" s="1"/>
        <i x="229" s="1"/>
        <i x="21" s="1"/>
        <i x="169" s="1"/>
        <i x="148" s="1"/>
        <i x="76" s="1"/>
        <i x="335" s="1"/>
        <i x="118" s="1"/>
        <i x="216" s="1"/>
        <i x="185" s="1"/>
        <i x="189" s="1"/>
        <i x="308" s="1"/>
        <i x="13" s="1"/>
        <i x="54" s="1"/>
        <i x="129" s="1"/>
        <i x="342" s="1"/>
        <i x="171" s="1"/>
        <i x="0" s="1"/>
        <i x="42" s="1"/>
        <i x="117" s="1"/>
        <i x="182" s="1"/>
        <i x="134" s="1"/>
        <i x="151" s="1"/>
        <i x="327" s="1"/>
        <i x="200" s="1"/>
        <i x="258" s="1"/>
        <i x="290" s="1"/>
        <i x="213" s="1"/>
        <i x="322" s="1"/>
        <i x="24" s="1"/>
        <i x="131" s="1"/>
        <i x="154" s="1"/>
        <i x="235" s="1"/>
        <i x="225" s="1"/>
        <i x="128" s="1"/>
        <i x="167" s="1"/>
        <i x="238" s="1"/>
        <i x="119" s="1"/>
        <i x="323" s="1"/>
        <i x="173" s="1"/>
        <i x="8" s="1"/>
        <i x="317" s="1"/>
        <i x="259" s="1"/>
        <i x="60" s="1"/>
        <i x="153" s="1"/>
        <i x="64" s="1"/>
        <i x="257" s="1"/>
        <i x="57" s="1"/>
        <i x="88" s="1"/>
        <i x="266" s="1"/>
        <i x="312" s="1"/>
        <i x="68" s="1"/>
        <i x="125" s="1"/>
        <i x="207" s="1"/>
        <i x="19" s="1"/>
        <i x="341"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85C7DBA-E9C7-40C4-9D1B-D6F607EE750F}" cache="Slicer_Product_Category" caption="Product Category" style="SlicerStyleDark3" rowHeight="247650"/>
  <slicer name="Gender" xr10:uid="{C00331C9-5BE1-4782-B0A3-E75AAB774F75}" cache="Slicer_Gender" caption="Gender" style="SlicerStyleDark3" rowHeight="247650"/>
  <slicer name="Date" xr10:uid="{6C396EAD-8C9C-4949-8420-5CB43F61D9EC}" cache="Slicer_Date" caption="Date"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66507-0B35-4AE9-8809-15247A2F2677}">
  <sheetPr codeName="Sheet1">
    <tabColor theme="9" tint="-0.499984740745262"/>
  </sheetPr>
  <dimension ref="A1:O1001"/>
  <sheetViews>
    <sheetView zoomScale="98" zoomScaleNormal="100" workbookViewId="0">
      <selection activeCell="K26" sqref="K26"/>
    </sheetView>
  </sheetViews>
  <sheetFormatPr defaultRowHeight="14.4" x14ac:dyDescent="0.3"/>
  <cols>
    <col min="1" max="1" width="14.6640625" customWidth="1"/>
    <col min="2" max="2" width="13.88671875" customWidth="1"/>
    <col min="3" max="3" width="12.109375" customWidth="1"/>
    <col min="4" max="4" width="8.88671875" customWidth="1"/>
    <col min="6" max="6" width="15.33203125" customWidth="1"/>
    <col min="7" max="7" width="8.88671875" customWidth="1"/>
    <col min="8" max="8" width="13.21875" customWidth="1"/>
    <col min="9" max="9" width="13.33203125" customWidth="1"/>
    <col min="14" max="14" width="26.44140625" customWidth="1"/>
    <col min="15" max="15" width="16.44140625" customWidth="1"/>
  </cols>
  <sheetData>
    <row r="1" spans="1:15" ht="15.6" thickTop="1" thickBot="1" x14ac:dyDescent="0.35">
      <c r="A1" s="2" t="s">
        <v>0</v>
      </c>
      <c r="B1" s="2" t="s">
        <v>1</v>
      </c>
      <c r="C1" s="2" t="s">
        <v>2</v>
      </c>
      <c r="D1" s="2" t="s">
        <v>3</v>
      </c>
      <c r="E1" s="2" t="s">
        <v>4</v>
      </c>
      <c r="F1" s="2" t="s">
        <v>5</v>
      </c>
      <c r="G1" s="2" t="s">
        <v>6</v>
      </c>
      <c r="H1" s="2" t="s">
        <v>7</v>
      </c>
      <c r="I1" s="2" t="s">
        <v>8</v>
      </c>
      <c r="N1" s="4" t="s">
        <v>1026</v>
      </c>
      <c r="O1" s="4" t="s">
        <v>1019</v>
      </c>
    </row>
    <row r="2" spans="1:15" ht="15.6" thickTop="1" thickBot="1" x14ac:dyDescent="0.35">
      <c r="A2">
        <v>74</v>
      </c>
      <c r="B2" s="1">
        <v>45252</v>
      </c>
      <c r="C2" t="s">
        <v>87</v>
      </c>
      <c r="D2" t="s">
        <v>13</v>
      </c>
      <c r="E2">
        <v>18</v>
      </c>
      <c r="F2" t="s">
        <v>11</v>
      </c>
      <c r="G2">
        <v>4</v>
      </c>
      <c r="H2">
        <v>500</v>
      </c>
      <c r="I2">
        <v>2000</v>
      </c>
      <c r="N2" s="6" t="s">
        <v>1015</v>
      </c>
      <c r="O2" s="7">
        <f>SUM(I2:I1001)</f>
        <v>456000</v>
      </c>
    </row>
    <row r="3" spans="1:15" ht="15.6" thickTop="1" thickBot="1" x14ac:dyDescent="0.35">
      <c r="A3">
        <v>257</v>
      </c>
      <c r="B3" s="1">
        <v>44976</v>
      </c>
      <c r="C3" t="s">
        <v>270</v>
      </c>
      <c r="D3" t="s">
        <v>10</v>
      </c>
      <c r="E3">
        <v>19</v>
      </c>
      <c r="F3" t="s">
        <v>11</v>
      </c>
      <c r="G3">
        <v>4</v>
      </c>
      <c r="H3">
        <v>500</v>
      </c>
      <c r="I3">
        <v>2000</v>
      </c>
      <c r="N3" s="6" t="s">
        <v>1020</v>
      </c>
      <c r="O3" s="8">
        <f>COUNT(A2:A1001)</f>
        <v>1000</v>
      </c>
    </row>
    <row r="4" spans="1:15" ht="15.6" thickTop="1" thickBot="1" x14ac:dyDescent="0.35">
      <c r="A4">
        <v>577</v>
      </c>
      <c r="B4" s="1">
        <v>44970</v>
      </c>
      <c r="C4" t="s">
        <v>590</v>
      </c>
      <c r="D4" t="s">
        <v>10</v>
      </c>
      <c r="E4">
        <v>21</v>
      </c>
      <c r="F4" t="s">
        <v>11</v>
      </c>
      <c r="G4">
        <v>4</v>
      </c>
      <c r="H4">
        <v>500</v>
      </c>
      <c r="I4">
        <v>2000</v>
      </c>
      <c r="N4" s="6" t="s">
        <v>1016</v>
      </c>
      <c r="O4" s="7">
        <f>AVERAGE(I2:I1001)</f>
        <v>456</v>
      </c>
    </row>
    <row r="5" spans="1:15" ht="15.6" thickTop="1" thickBot="1" x14ac:dyDescent="0.35">
      <c r="A5">
        <v>447</v>
      </c>
      <c r="B5" s="1">
        <v>45113</v>
      </c>
      <c r="C5" t="s">
        <v>460</v>
      </c>
      <c r="D5" t="s">
        <v>10</v>
      </c>
      <c r="E5">
        <v>22</v>
      </c>
      <c r="F5" t="s">
        <v>11</v>
      </c>
      <c r="G5">
        <v>4</v>
      </c>
      <c r="H5">
        <v>500</v>
      </c>
      <c r="I5">
        <v>2000</v>
      </c>
      <c r="N5" s="6" t="s">
        <v>1017</v>
      </c>
      <c r="O5" s="7">
        <f>MAX(I2:I1001)</f>
        <v>2000</v>
      </c>
    </row>
    <row r="6" spans="1:15" ht="15.6" thickTop="1" thickBot="1" x14ac:dyDescent="0.35">
      <c r="A6">
        <v>281</v>
      </c>
      <c r="B6" s="1">
        <v>45069</v>
      </c>
      <c r="C6" t="s">
        <v>294</v>
      </c>
      <c r="D6" t="s">
        <v>13</v>
      </c>
      <c r="E6">
        <v>29</v>
      </c>
      <c r="F6" t="s">
        <v>11</v>
      </c>
      <c r="G6">
        <v>4</v>
      </c>
      <c r="H6">
        <v>500</v>
      </c>
      <c r="I6">
        <v>2000</v>
      </c>
      <c r="N6" s="6" t="s">
        <v>1018</v>
      </c>
      <c r="O6" s="7">
        <f>MIN(I2:I1001)</f>
        <v>25</v>
      </c>
    </row>
    <row r="7" spans="1:15" ht="15" thickTop="1" x14ac:dyDescent="0.3">
      <c r="A7">
        <v>808</v>
      </c>
      <c r="B7" s="1">
        <v>45017</v>
      </c>
      <c r="C7" t="s">
        <v>821</v>
      </c>
      <c r="D7" t="s">
        <v>10</v>
      </c>
      <c r="E7">
        <v>33</v>
      </c>
      <c r="F7" t="s">
        <v>11</v>
      </c>
      <c r="G7">
        <v>4</v>
      </c>
      <c r="H7">
        <v>500</v>
      </c>
      <c r="I7">
        <v>2000</v>
      </c>
    </row>
    <row r="8" spans="1:15" x14ac:dyDescent="0.3">
      <c r="A8">
        <v>743</v>
      </c>
      <c r="B8" s="1">
        <v>44942</v>
      </c>
      <c r="C8" t="s">
        <v>756</v>
      </c>
      <c r="D8" t="s">
        <v>13</v>
      </c>
      <c r="E8">
        <v>34</v>
      </c>
      <c r="F8" t="s">
        <v>11</v>
      </c>
      <c r="G8">
        <v>4</v>
      </c>
      <c r="H8">
        <v>500</v>
      </c>
      <c r="I8">
        <v>2000</v>
      </c>
    </row>
    <row r="9" spans="1:15" x14ac:dyDescent="0.3">
      <c r="A9">
        <v>93</v>
      </c>
      <c r="B9" s="1">
        <v>45121</v>
      </c>
      <c r="C9" t="s">
        <v>106</v>
      </c>
      <c r="D9" t="s">
        <v>13</v>
      </c>
      <c r="E9">
        <v>35</v>
      </c>
      <c r="F9" t="s">
        <v>11</v>
      </c>
      <c r="G9">
        <v>4</v>
      </c>
      <c r="H9">
        <v>500</v>
      </c>
      <c r="I9">
        <v>2000</v>
      </c>
    </row>
    <row r="10" spans="1:15" x14ac:dyDescent="0.3">
      <c r="A10">
        <v>139</v>
      </c>
      <c r="B10" s="1">
        <v>45275</v>
      </c>
      <c r="C10" t="s">
        <v>152</v>
      </c>
      <c r="D10" t="s">
        <v>10</v>
      </c>
      <c r="E10">
        <v>36</v>
      </c>
      <c r="F10" t="s">
        <v>11</v>
      </c>
      <c r="G10">
        <v>4</v>
      </c>
      <c r="H10">
        <v>500</v>
      </c>
      <c r="I10">
        <v>2000</v>
      </c>
    </row>
    <row r="11" spans="1:15" x14ac:dyDescent="0.3">
      <c r="A11">
        <v>480</v>
      </c>
      <c r="B11" s="1">
        <v>45106</v>
      </c>
      <c r="C11" t="s">
        <v>493</v>
      </c>
      <c r="D11" t="s">
        <v>13</v>
      </c>
      <c r="E11">
        <v>42</v>
      </c>
      <c r="F11" t="s">
        <v>11</v>
      </c>
      <c r="G11">
        <v>4</v>
      </c>
      <c r="H11">
        <v>500</v>
      </c>
      <c r="I11">
        <v>2000</v>
      </c>
    </row>
    <row r="12" spans="1:15" x14ac:dyDescent="0.3">
      <c r="A12">
        <v>503</v>
      </c>
      <c r="B12" s="1">
        <v>45224</v>
      </c>
      <c r="C12" t="s">
        <v>516</v>
      </c>
      <c r="D12" t="s">
        <v>10</v>
      </c>
      <c r="E12">
        <v>45</v>
      </c>
      <c r="F12" t="s">
        <v>11</v>
      </c>
      <c r="G12">
        <v>4</v>
      </c>
      <c r="H12">
        <v>500</v>
      </c>
      <c r="I12">
        <v>2000</v>
      </c>
    </row>
    <row r="13" spans="1:15" x14ac:dyDescent="0.3">
      <c r="A13">
        <v>592</v>
      </c>
      <c r="B13" s="1">
        <v>44950</v>
      </c>
      <c r="C13" t="s">
        <v>605</v>
      </c>
      <c r="D13" t="s">
        <v>13</v>
      </c>
      <c r="E13">
        <v>46</v>
      </c>
      <c r="F13" t="s">
        <v>11</v>
      </c>
      <c r="G13">
        <v>4</v>
      </c>
      <c r="H13">
        <v>500</v>
      </c>
      <c r="I13">
        <v>2000</v>
      </c>
    </row>
    <row r="14" spans="1:15" x14ac:dyDescent="0.3">
      <c r="A14">
        <v>832</v>
      </c>
      <c r="B14" s="1">
        <v>45180</v>
      </c>
      <c r="C14" t="s">
        <v>845</v>
      </c>
      <c r="D14" t="s">
        <v>10</v>
      </c>
      <c r="E14">
        <v>47</v>
      </c>
      <c r="F14" t="s">
        <v>11</v>
      </c>
      <c r="G14">
        <v>4</v>
      </c>
      <c r="H14">
        <v>500</v>
      </c>
      <c r="I14">
        <v>2000</v>
      </c>
    </row>
    <row r="15" spans="1:15" x14ac:dyDescent="0.3">
      <c r="A15">
        <v>169</v>
      </c>
      <c r="B15" s="1">
        <v>45247</v>
      </c>
      <c r="C15" t="s">
        <v>182</v>
      </c>
      <c r="D15" t="s">
        <v>10</v>
      </c>
      <c r="E15">
        <v>18</v>
      </c>
      <c r="F15" t="s">
        <v>11</v>
      </c>
      <c r="G15">
        <v>3</v>
      </c>
      <c r="H15">
        <v>500</v>
      </c>
      <c r="I15">
        <v>1500</v>
      </c>
    </row>
    <row r="16" spans="1:15" x14ac:dyDescent="0.3">
      <c r="A16">
        <v>677</v>
      </c>
      <c r="B16" s="1">
        <v>45226</v>
      </c>
      <c r="C16" t="s">
        <v>690</v>
      </c>
      <c r="D16" t="s">
        <v>13</v>
      </c>
      <c r="E16">
        <v>19</v>
      </c>
      <c r="F16" t="s">
        <v>11</v>
      </c>
      <c r="G16">
        <v>3</v>
      </c>
      <c r="H16">
        <v>500</v>
      </c>
      <c r="I16">
        <v>1500</v>
      </c>
    </row>
    <row r="17" spans="1:9" x14ac:dyDescent="0.3">
      <c r="A17">
        <v>636</v>
      </c>
      <c r="B17" s="1">
        <v>45008</v>
      </c>
      <c r="C17" t="s">
        <v>649</v>
      </c>
      <c r="D17" t="s">
        <v>13</v>
      </c>
      <c r="E17">
        <v>21</v>
      </c>
      <c r="F17" t="s">
        <v>11</v>
      </c>
      <c r="G17">
        <v>3</v>
      </c>
      <c r="H17">
        <v>500</v>
      </c>
      <c r="I17">
        <v>1500</v>
      </c>
    </row>
    <row r="18" spans="1:9" x14ac:dyDescent="0.3">
      <c r="A18">
        <v>843</v>
      </c>
      <c r="B18" s="1">
        <v>45068</v>
      </c>
      <c r="C18" t="s">
        <v>856</v>
      </c>
      <c r="D18" t="s">
        <v>10</v>
      </c>
      <c r="E18">
        <v>21</v>
      </c>
      <c r="F18" t="s">
        <v>11</v>
      </c>
      <c r="G18">
        <v>3</v>
      </c>
      <c r="H18">
        <v>500</v>
      </c>
      <c r="I18">
        <v>1500</v>
      </c>
    </row>
    <row r="19" spans="1:9" x14ac:dyDescent="0.3">
      <c r="A19">
        <v>372</v>
      </c>
      <c r="B19" s="1">
        <v>44964</v>
      </c>
      <c r="C19" t="s">
        <v>385</v>
      </c>
      <c r="D19" t="s">
        <v>13</v>
      </c>
      <c r="E19">
        <v>24</v>
      </c>
      <c r="F19" t="s">
        <v>11</v>
      </c>
      <c r="G19">
        <v>3</v>
      </c>
      <c r="H19">
        <v>500</v>
      </c>
      <c r="I19">
        <v>1500</v>
      </c>
    </row>
    <row r="20" spans="1:9" x14ac:dyDescent="0.3">
      <c r="A20">
        <v>213</v>
      </c>
      <c r="B20" s="1">
        <v>45131</v>
      </c>
      <c r="C20" t="s">
        <v>226</v>
      </c>
      <c r="D20" t="s">
        <v>10</v>
      </c>
      <c r="E20">
        <v>27</v>
      </c>
      <c r="F20" t="s">
        <v>11</v>
      </c>
      <c r="G20">
        <v>3</v>
      </c>
      <c r="H20">
        <v>500</v>
      </c>
      <c r="I20">
        <v>1500</v>
      </c>
    </row>
    <row r="21" spans="1:9" x14ac:dyDescent="0.3">
      <c r="A21">
        <v>805</v>
      </c>
      <c r="B21" s="1">
        <v>45289</v>
      </c>
      <c r="C21" t="s">
        <v>818</v>
      </c>
      <c r="D21" t="s">
        <v>13</v>
      </c>
      <c r="E21">
        <v>30</v>
      </c>
      <c r="F21" t="s">
        <v>11</v>
      </c>
      <c r="G21">
        <v>3</v>
      </c>
      <c r="H21">
        <v>500</v>
      </c>
      <c r="I21">
        <v>1500</v>
      </c>
    </row>
    <row r="22" spans="1:9" x14ac:dyDescent="0.3">
      <c r="A22">
        <v>506</v>
      </c>
      <c r="B22" s="1">
        <v>44982</v>
      </c>
      <c r="C22" t="s">
        <v>519</v>
      </c>
      <c r="D22" t="s">
        <v>10</v>
      </c>
      <c r="E22">
        <v>34</v>
      </c>
      <c r="F22" t="s">
        <v>11</v>
      </c>
      <c r="G22">
        <v>3</v>
      </c>
      <c r="H22">
        <v>500</v>
      </c>
      <c r="I22">
        <v>1500</v>
      </c>
    </row>
    <row r="23" spans="1:9" x14ac:dyDescent="0.3">
      <c r="A23">
        <v>193</v>
      </c>
      <c r="B23" s="1">
        <v>44970</v>
      </c>
      <c r="C23" t="s">
        <v>206</v>
      </c>
      <c r="D23" t="s">
        <v>10</v>
      </c>
      <c r="E23">
        <v>35</v>
      </c>
      <c r="F23" t="s">
        <v>11</v>
      </c>
      <c r="G23">
        <v>3</v>
      </c>
      <c r="H23">
        <v>500</v>
      </c>
      <c r="I23">
        <v>1500</v>
      </c>
    </row>
    <row r="24" spans="1:9" x14ac:dyDescent="0.3">
      <c r="A24">
        <v>869</v>
      </c>
      <c r="B24" s="1">
        <v>45224</v>
      </c>
      <c r="C24" t="s">
        <v>882</v>
      </c>
      <c r="D24" t="s">
        <v>10</v>
      </c>
      <c r="E24">
        <v>37</v>
      </c>
      <c r="F24" t="s">
        <v>11</v>
      </c>
      <c r="G24">
        <v>3</v>
      </c>
      <c r="H24">
        <v>500</v>
      </c>
      <c r="I24">
        <v>1500</v>
      </c>
    </row>
    <row r="25" spans="1:9" x14ac:dyDescent="0.3">
      <c r="A25">
        <v>47</v>
      </c>
      <c r="B25" s="1">
        <v>45236</v>
      </c>
      <c r="C25" t="s">
        <v>60</v>
      </c>
      <c r="D25" t="s">
        <v>13</v>
      </c>
      <c r="E25">
        <v>40</v>
      </c>
      <c r="F25" t="s">
        <v>11</v>
      </c>
      <c r="G25">
        <v>3</v>
      </c>
      <c r="H25">
        <v>500</v>
      </c>
      <c r="I25">
        <v>1500</v>
      </c>
    </row>
    <row r="26" spans="1:9" x14ac:dyDescent="0.3">
      <c r="A26">
        <v>693</v>
      </c>
      <c r="B26" s="1">
        <v>45039</v>
      </c>
      <c r="C26" t="s">
        <v>706</v>
      </c>
      <c r="D26" t="s">
        <v>10</v>
      </c>
      <c r="E26">
        <v>41</v>
      </c>
      <c r="F26" t="s">
        <v>11</v>
      </c>
      <c r="G26">
        <v>3</v>
      </c>
      <c r="H26">
        <v>500</v>
      </c>
      <c r="I26">
        <v>1500</v>
      </c>
    </row>
    <row r="27" spans="1:9" x14ac:dyDescent="0.3">
      <c r="A27">
        <v>211</v>
      </c>
      <c r="B27" s="1">
        <v>45292</v>
      </c>
      <c r="C27" t="s">
        <v>224</v>
      </c>
      <c r="D27" t="s">
        <v>10</v>
      </c>
      <c r="E27">
        <v>42</v>
      </c>
      <c r="F27" t="s">
        <v>11</v>
      </c>
      <c r="G27">
        <v>3</v>
      </c>
      <c r="H27">
        <v>500</v>
      </c>
      <c r="I27">
        <v>1500</v>
      </c>
    </row>
    <row r="28" spans="1:9" x14ac:dyDescent="0.3">
      <c r="A28">
        <v>199</v>
      </c>
      <c r="B28" s="1">
        <v>45264</v>
      </c>
      <c r="C28" t="s">
        <v>212</v>
      </c>
      <c r="D28" t="s">
        <v>10</v>
      </c>
      <c r="E28">
        <v>45</v>
      </c>
      <c r="F28" t="s">
        <v>11</v>
      </c>
      <c r="G28">
        <v>3</v>
      </c>
      <c r="H28">
        <v>500</v>
      </c>
      <c r="I28">
        <v>1500</v>
      </c>
    </row>
    <row r="29" spans="1:9" x14ac:dyDescent="0.3">
      <c r="A29">
        <v>522</v>
      </c>
      <c r="B29" s="1">
        <v>44927</v>
      </c>
      <c r="C29" t="s">
        <v>535</v>
      </c>
      <c r="D29" t="s">
        <v>10</v>
      </c>
      <c r="E29">
        <v>46</v>
      </c>
      <c r="F29" t="s">
        <v>11</v>
      </c>
      <c r="G29">
        <v>3</v>
      </c>
      <c r="H29">
        <v>500</v>
      </c>
      <c r="I29">
        <v>1500</v>
      </c>
    </row>
    <row r="30" spans="1:9" x14ac:dyDescent="0.3">
      <c r="A30">
        <v>164</v>
      </c>
      <c r="B30" s="1">
        <v>45061</v>
      </c>
      <c r="C30" t="s">
        <v>177</v>
      </c>
      <c r="D30" t="s">
        <v>13</v>
      </c>
      <c r="E30">
        <v>47</v>
      </c>
      <c r="F30" t="s">
        <v>11</v>
      </c>
      <c r="G30">
        <v>3</v>
      </c>
      <c r="H30">
        <v>500</v>
      </c>
      <c r="I30">
        <v>1500</v>
      </c>
    </row>
    <row r="31" spans="1:9" x14ac:dyDescent="0.3">
      <c r="A31">
        <v>611</v>
      </c>
      <c r="B31" s="1">
        <v>44981</v>
      </c>
      <c r="C31" t="s">
        <v>624</v>
      </c>
      <c r="D31" t="s">
        <v>10</v>
      </c>
      <c r="E31">
        <v>51</v>
      </c>
      <c r="F31" t="s">
        <v>11</v>
      </c>
      <c r="G31">
        <v>3</v>
      </c>
      <c r="H31">
        <v>500</v>
      </c>
      <c r="I31">
        <v>1500</v>
      </c>
    </row>
    <row r="32" spans="1:9" x14ac:dyDescent="0.3">
      <c r="A32">
        <v>463</v>
      </c>
      <c r="B32" s="1">
        <v>45138</v>
      </c>
      <c r="C32" t="s">
        <v>476</v>
      </c>
      <c r="D32" t="s">
        <v>13</v>
      </c>
      <c r="E32">
        <v>54</v>
      </c>
      <c r="F32" t="s">
        <v>11</v>
      </c>
      <c r="G32">
        <v>3</v>
      </c>
      <c r="H32">
        <v>500</v>
      </c>
      <c r="I32">
        <v>1500</v>
      </c>
    </row>
    <row r="33" spans="1:9" x14ac:dyDescent="0.3">
      <c r="A33">
        <v>313</v>
      </c>
      <c r="B33" s="1">
        <v>45006</v>
      </c>
      <c r="C33" t="s">
        <v>326</v>
      </c>
      <c r="D33" t="s">
        <v>13</v>
      </c>
      <c r="E33">
        <v>55</v>
      </c>
      <c r="F33" t="s">
        <v>11</v>
      </c>
      <c r="G33">
        <v>3</v>
      </c>
      <c r="H33">
        <v>500</v>
      </c>
      <c r="I33">
        <v>1500</v>
      </c>
    </row>
    <row r="34" spans="1:9" x14ac:dyDescent="0.3">
      <c r="A34">
        <v>720</v>
      </c>
      <c r="B34" s="1">
        <v>44952</v>
      </c>
      <c r="C34" t="s">
        <v>733</v>
      </c>
      <c r="D34" t="s">
        <v>13</v>
      </c>
      <c r="E34">
        <v>56</v>
      </c>
      <c r="F34" t="s">
        <v>11</v>
      </c>
      <c r="G34">
        <v>3</v>
      </c>
      <c r="H34">
        <v>500</v>
      </c>
      <c r="I34">
        <v>1500</v>
      </c>
    </row>
    <row r="35" spans="1:9" x14ac:dyDescent="0.3">
      <c r="A35">
        <v>144</v>
      </c>
      <c r="B35" s="1">
        <v>45122</v>
      </c>
      <c r="C35" t="s">
        <v>157</v>
      </c>
      <c r="D35" t="s">
        <v>13</v>
      </c>
      <c r="E35">
        <v>59</v>
      </c>
      <c r="F35" t="s">
        <v>11</v>
      </c>
      <c r="G35">
        <v>3</v>
      </c>
      <c r="H35">
        <v>500</v>
      </c>
      <c r="I35">
        <v>1500</v>
      </c>
    </row>
    <row r="36" spans="1:9" x14ac:dyDescent="0.3">
      <c r="A36">
        <v>292</v>
      </c>
      <c r="B36" s="1">
        <v>44974</v>
      </c>
      <c r="C36" t="s">
        <v>305</v>
      </c>
      <c r="D36" t="s">
        <v>10</v>
      </c>
      <c r="E36">
        <v>20</v>
      </c>
      <c r="F36" t="s">
        <v>11</v>
      </c>
      <c r="G36">
        <v>4</v>
      </c>
      <c r="H36">
        <v>300</v>
      </c>
      <c r="I36">
        <v>1200</v>
      </c>
    </row>
    <row r="37" spans="1:9" x14ac:dyDescent="0.3">
      <c r="A37">
        <v>597</v>
      </c>
      <c r="B37" s="1">
        <v>45160</v>
      </c>
      <c r="C37" t="s">
        <v>610</v>
      </c>
      <c r="D37" t="s">
        <v>10</v>
      </c>
      <c r="E37">
        <v>22</v>
      </c>
      <c r="F37" t="s">
        <v>11</v>
      </c>
      <c r="G37">
        <v>4</v>
      </c>
      <c r="H37">
        <v>300</v>
      </c>
      <c r="I37">
        <v>1200</v>
      </c>
    </row>
    <row r="38" spans="1:9" x14ac:dyDescent="0.3">
      <c r="A38">
        <v>669</v>
      </c>
      <c r="B38" s="1">
        <v>45096</v>
      </c>
      <c r="C38" t="s">
        <v>682</v>
      </c>
      <c r="D38" t="s">
        <v>10</v>
      </c>
      <c r="E38">
        <v>24</v>
      </c>
      <c r="F38" t="s">
        <v>11</v>
      </c>
      <c r="G38">
        <v>4</v>
      </c>
      <c r="H38">
        <v>300</v>
      </c>
      <c r="I38">
        <v>1200</v>
      </c>
    </row>
    <row r="39" spans="1:9" x14ac:dyDescent="0.3">
      <c r="A39">
        <v>298</v>
      </c>
      <c r="B39" s="1">
        <v>45036</v>
      </c>
      <c r="C39" t="s">
        <v>311</v>
      </c>
      <c r="D39" t="s">
        <v>10</v>
      </c>
      <c r="E39">
        <v>27</v>
      </c>
      <c r="F39" t="s">
        <v>11</v>
      </c>
      <c r="G39">
        <v>4</v>
      </c>
      <c r="H39">
        <v>300</v>
      </c>
      <c r="I39">
        <v>1200</v>
      </c>
    </row>
    <row r="40" spans="1:9" x14ac:dyDescent="0.3">
      <c r="A40">
        <v>308</v>
      </c>
      <c r="B40" s="1">
        <v>45143</v>
      </c>
      <c r="C40" t="s">
        <v>321</v>
      </c>
      <c r="D40" t="s">
        <v>13</v>
      </c>
      <c r="E40">
        <v>34</v>
      </c>
      <c r="F40" t="s">
        <v>11</v>
      </c>
      <c r="G40">
        <v>4</v>
      </c>
      <c r="H40">
        <v>300</v>
      </c>
      <c r="I40">
        <v>1200</v>
      </c>
    </row>
    <row r="41" spans="1:9" x14ac:dyDescent="0.3">
      <c r="A41">
        <v>614</v>
      </c>
      <c r="B41" s="1">
        <v>45017</v>
      </c>
      <c r="C41" t="s">
        <v>627</v>
      </c>
      <c r="D41" t="s">
        <v>13</v>
      </c>
      <c r="E41">
        <v>39</v>
      </c>
      <c r="F41" t="s">
        <v>11</v>
      </c>
      <c r="G41">
        <v>4</v>
      </c>
      <c r="H41">
        <v>300</v>
      </c>
      <c r="I41">
        <v>1200</v>
      </c>
    </row>
    <row r="42" spans="1:9" x14ac:dyDescent="0.3">
      <c r="A42">
        <v>587</v>
      </c>
      <c r="B42" s="1">
        <v>45085</v>
      </c>
      <c r="C42" t="s">
        <v>600</v>
      </c>
      <c r="D42" t="s">
        <v>13</v>
      </c>
      <c r="E42">
        <v>40</v>
      </c>
      <c r="F42" t="s">
        <v>11</v>
      </c>
      <c r="G42">
        <v>4</v>
      </c>
      <c r="H42">
        <v>300</v>
      </c>
      <c r="I42">
        <v>1200</v>
      </c>
    </row>
    <row r="43" spans="1:9" x14ac:dyDescent="0.3">
      <c r="A43">
        <v>524</v>
      </c>
      <c r="B43" s="1">
        <v>45202</v>
      </c>
      <c r="C43" t="s">
        <v>537</v>
      </c>
      <c r="D43" t="s">
        <v>10</v>
      </c>
      <c r="E43">
        <v>46</v>
      </c>
      <c r="F43" t="s">
        <v>11</v>
      </c>
      <c r="G43">
        <v>4</v>
      </c>
      <c r="H43">
        <v>300</v>
      </c>
      <c r="I43">
        <v>1200</v>
      </c>
    </row>
    <row r="44" spans="1:9" x14ac:dyDescent="0.3">
      <c r="A44">
        <v>682</v>
      </c>
      <c r="B44" s="1">
        <v>45171</v>
      </c>
      <c r="C44" t="s">
        <v>695</v>
      </c>
      <c r="D44" t="s">
        <v>10</v>
      </c>
      <c r="E44">
        <v>46</v>
      </c>
      <c r="F44" t="s">
        <v>11</v>
      </c>
      <c r="G44">
        <v>4</v>
      </c>
      <c r="H44">
        <v>300</v>
      </c>
      <c r="I44">
        <v>1200</v>
      </c>
    </row>
    <row r="45" spans="1:9" x14ac:dyDescent="0.3">
      <c r="A45">
        <v>908</v>
      </c>
      <c r="B45" s="1">
        <v>45289</v>
      </c>
      <c r="C45" t="s">
        <v>921</v>
      </c>
      <c r="D45" t="s">
        <v>10</v>
      </c>
      <c r="E45">
        <v>46</v>
      </c>
      <c r="F45" t="s">
        <v>11</v>
      </c>
      <c r="G45">
        <v>4</v>
      </c>
      <c r="H45">
        <v>300</v>
      </c>
      <c r="I45">
        <v>1200</v>
      </c>
    </row>
    <row r="46" spans="1:9" x14ac:dyDescent="0.3">
      <c r="A46">
        <v>67</v>
      </c>
      <c r="B46" s="1">
        <v>45075</v>
      </c>
      <c r="C46" t="s">
        <v>80</v>
      </c>
      <c r="D46" t="s">
        <v>13</v>
      </c>
      <c r="E46">
        <v>48</v>
      </c>
      <c r="F46" t="s">
        <v>11</v>
      </c>
      <c r="G46">
        <v>4</v>
      </c>
      <c r="H46">
        <v>300</v>
      </c>
      <c r="I46">
        <v>1200</v>
      </c>
    </row>
    <row r="47" spans="1:9" x14ac:dyDescent="0.3">
      <c r="A47">
        <v>648</v>
      </c>
      <c r="B47" s="1">
        <v>45152</v>
      </c>
      <c r="C47" t="s">
        <v>661</v>
      </c>
      <c r="D47" t="s">
        <v>10</v>
      </c>
      <c r="E47">
        <v>53</v>
      </c>
      <c r="F47" t="s">
        <v>11</v>
      </c>
      <c r="G47">
        <v>4</v>
      </c>
      <c r="H47">
        <v>300</v>
      </c>
      <c r="I47">
        <v>1200</v>
      </c>
    </row>
    <row r="48" spans="1:9" x14ac:dyDescent="0.3">
      <c r="A48">
        <v>424</v>
      </c>
      <c r="B48" s="1">
        <v>45253</v>
      </c>
      <c r="C48" t="s">
        <v>437</v>
      </c>
      <c r="D48" t="s">
        <v>10</v>
      </c>
      <c r="E48">
        <v>57</v>
      </c>
      <c r="F48" t="s">
        <v>11</v>
      </c>
      <c r="G48">
        <v>4</v>
      </c>
      <c r="H48">
        <v>300</v>
      </c>
      <c r="I48">
        <v>1200</v>
      </c>
    </row>
    <row r="49" spans="1:9" x14ac:dyDescent="0.3">
      <c r="A49">
        <v>441</v>
      </c>
      <c r="B49" s="1">
        <v>45209</v>
      </c>
      <c r="C49" t="s">
        <v>454</v>
      </c>
      <c r="D49" t="s">
        <v>10</v>
      </c>
      <c r="E49">
        <v>57</v>
      </c>
      <c r="F49" t="s">
        <v>11</v>
      </c>
      <c r="G49">
        <v>4</v>
      </c>
      <c r="H49">
        <v>300</v>
      </c>
      <c r="I49">
        <v>1200</v>
      </c>
    </row>
    <row r="50" spans="1:9" x14ac:dyDescent="0.3">
      <c r="A50">
        <v>461</v>
      </c>
      <c r="B50" s="1">
        <v>45010</v>
      </c>
      <c r="C50" t="s">
        <v>474</v>
      </c>
      <c r="D50" t="s">
        <v>13</v>
      </c>
      <c r="E50">
        <v>18</v>
      </c>
      <c r="F50" t="s">
        <v>11</v>
      </c>
      <c r="G50">
        <v>2</v>
      </c>
      <c r="H50">
        <v>500</v>
      </c>
      <c r="I50">
        <v>1000</v>
      </c>
    </row>
    <row r="51" spans="1:9" x14ac:dyDescent="0.3">
      <c r="A51">
        <v>853</v>
      </c>
      <c r="B51" s="1">
        <v>45050</v>
      </c>
      <c r="C51" t="s">
        <v>866</v>
      </c>
      <c r="D51" t="s">
        <v>10</v>
      </c>
      <c r="E51">
        <v>21</v>
      </c>
      <c r="F51" t="s">
        <v>11</v>
      </c>
      <c r="G51">
        <v>2</v>
      </c>
      <c r="H51">
        <v>500</v>
      </c>
      <c r="I51">
        <v>1000</v>
      </c>
    </row>
    <row r="52" spans="1:9" x14ac:dyDescent="0.3">
      <c r="A52">
        <v>393</v>
      </c>
      <c r="B52" s="1">
        <v>45210</v>
      </c>
      <c r="C52" t="s">
        <v>406</v>
      </c>
      <c r="D52" t="s">
        <v>13</v>
      </c>
      <c r="E52">
        <v>22</v>
      </c>
      <c r="F52" t="s">
        <v>11</v>
      </c>
      <c r="G52">
        <v>2</v>
      </c>
      <c r="H52">
        <v>500</v>
      </c>
      <c r="I52">
        <v>1000</v>
      </c>
    </row>
    <row r="53" spans="1:9" x14ac:dyDescent="0.3">
      <c r="A53">
        <v>880</v>
      </c>
      <c r="B53" s="1">
        <v>45159</v>
      </c>
      <c r="C53" t="s">
        <v>893</v>
      </c>
      <c r="D53" t="s">
        <v>10</v>
      </c>
      <c r="E53">
        <v>22</v>
      </c>
      <c r="F53" t="s">
        <v>11</v>
      </c>
      <c r="G53">
        <v>2</v>
      </c>
      <c r="H53">
        <v>500</v>
      </c>
      <c r="I53">
        <v>1000</v>
      </c>
    </row>
    <row r="54" spans="1:9" x14ac:dyDescent="0.3">
      <c r="A54">
        <v>850</v>
      </c>
      <c r="B54" s="1">
        <v>45135</v>
      </c>
      <c r="C54" t="s">
        <v>863</v>
      </c>
      <c r="D54" t="s">
        <v>13</v>
      </c>
      <c r="E54">
        <v>26</v>
      </c>
      <c r="F54" t="s">
        <v>11</v>
      </c>
      <c r="G54">
        <v>2</v>
      </c>
      <c r="H54">
        <v>500</v>
      </c>
      <c r="I54">
        <v>1000</v>
      </c>
    </row>
    <row r="55" spans="1:9" x14ac:dyDescent="0.3">
      <c r="A55">
        <v>104</v>
      </c>
      <c r="B55" s="1">
        <v>45088</v>
      </c>
      <c r="C55" t="s">
        <v>117</v>
      </c>
      <c r="D55" t="s">
        <v>13</v>
      </c>
      <c r="E55">
        <v>34</v>
      </c>
      <c r="F55" t="s">
        <v>11</v>
      </c>
      <c r="G55">
        <v>2</v>
      </c>
      <c r="H55">
        <v>500</v>
      </c>
      <c r="I55">
        <v>1000</v>
      </c>
    </row>
    <row r="56" spans="1:9" x14ac:dyDescent="0.3">
      <c r="A56">
        <v>589</v>
      </c>
      <c r="B56" s="1">
        <v>45028</v>
      </c>
      <c r="C56" t="s">
        <v>602</v>
      </c>
      <c r="D56" t="s">
        <v>13</v>
      </c>
      <c r="E56">
        <v>36</v>
      </c>
      <c r="F56" t="s">
        <v>11</v>
      </c>
      <c r="G56">
        <v>2</v>
      </c>
      <c r="H56">
        <v>500</v>
      </c>
      <c r="I56">
        <v>1000</v>
      </c>
    </row>
    <row r="57" spans="1:9" x14ac:dyDescent="0.3">
      <c r="A57">
        <v>660</v>
      </c>
      <c r="B57" s="1">
        <v>45045</v>
      </c>
      <c r="C57" t="s">
        <v>673</v>
      </c>
      <c r="D57" t="s">
        <v>13</v>
      </c>
      <c r="E57">
        <v>38</v>
      </c>
      <c r="F57" t="s">
        <v>11</v>
      </c>
      <c r="G57">
        <v>2</v>
      </c>
      <c r="H57">
        <v>500</v>
      </c>
      <c r="I57">
        <v>1000</v>
      </c>
    </row>
    <row r="58" spans="1:9" x14ac:dyDescent="0.3">
      <c r="A58">
        <v>683</v>
      </c>
      <c r="B58" s="1">
        <v>44930</v>
      </c>
      <c r="C58" t="s">
        <v>696</v>
      </c>
      <c r="D58" t="s">
        <v>10</v>
      </c>
      <c r="E58">
        <v>38</v>
      </c>
      <c r="F58" t="s">
        <v>11</v>
      </c>
      <c r="G58">
        <v>2</v>
      </c>
      <c r="H58">
        <v>500</v>
      </c>
      <c r="I58">
        <v>1000</v>
      </c>
    </row>
    <row r="59" spans="1:9" x14ac:dyDescent="0.3">
      <c r="A59">
        <v>621</v>
      </c>
      <c r="B59" s="1">
        <v>44989</v>
      </c>
      <c r="C59" t="s">
        <v>634</v>
      </c>
      <c r="D59" t="s">
        <v>13</v>
      </c>
      <c r="E59">
        <v>40</v>
      </c>
      <c r="F59" t="s">
        <v>11</v>
      </c>
      <c r="G59">
        <v>2</v>
      </c>
      <c r="H59">
        <v>500</v>
      </c>
      <c r="I59">
        <v>1000</v>
      </c>
    </row>
    <row r="60" spans="1:9" x14ac:dyDescent="0.3">
      <c r="A60">
        <v>137</v>
      </c>
      <c r="B60" s="1">
        <v>45248</v>
      </c>
      <c r="C60" t="s">
        <v>150</v>
      </c>
      <c r="D60" t="s">
        <v>10</v>
      </c>
      <c r="E60">
        <v>46</v>
      </c>
      <c r="F60" t="s">
        <v>11</v>
      </c>
      <c r="G60">
        <v>2</v>
      </c>
      <c r="H60">
        <v>500</v>
      </c>
      <c r="I60">
        <v>1000</v>
      </c>
    </row>
    <row r="61" spans="1:9" x14ac:dyDescent="0.3">
      <c r="A61">
        <v>94</v>
      </c>
      <c r="B61" s="1">
        <v>45065</v>
      </c>
      <c r="C61" t="s">
        <v>107</v>
      </c>
      <c r="D61" t="s">
        <v>13</v>
      </c>
      <c r="E61">
        <v>47</v>
      </c>
      <c r="F61" t="s">
        <v>11</v>
      </c>
      <c r="G61">
        <v>2</v>
      </c>
      <c r="H61">
        <v>500</v>
      </c>
      <c r="I61">
        <v>1000</v>
      </c>
    </row>
    <row r="62" spans="1:9" x14ac:dyDescent="0.3">
      <c r="A62">
        <v>816</v>
      </c>
      <c r="B62" s="1">
        <v>45150</v>
      </c>
      <c r="C62" t="s">
        <v>829</v>
      </c>
      <c r="D62" t="s">
        <v>10</v>
      </c>
      <c r="E62">
        <v>47</v>
      </c>
      <c r="F62" t="s">
        <v>11</v>
      </c>
      <c r="G62">
        <v>2</v>
      </c>
      <c r="H62">
        <v>500</v>
      </c>
      <c r="I62">
        <v>1000</v>
      </c>
    </row>
    <row r="63" spans="1:9" x14ac:dyDescent="0.3">
      <c r="A63">
        <v>662</v>
      </c>
      <c r="B63" s="1">
        <v>45282</v>
      </c>
      <c r="C63" t="s">
        <v>675</v>
      </c>
      <c r="D63" t="s">
        <v>10</v>
      </c>
      <c r="E63">
        <v>48</v>
      </c>
      <c r="F63" t="s">
        <v>11</v>
      </c>
      <c r="G63">
        <v>2</v>
      </c>
      <c r="H63">
        <v>500</v>
      </c>
      <c r="I63">
        <v>1000</v>
      </c>
    </row>
    <row r="64" spans="1:9" x14ac:dyDescent="0.3">
      <c r="A64">
        <v>237</v>
      </c>
      <c r="B64" s="1">
        <v>44961</v>
      </c>
      <c r="C64" t="s">
        <v>250</v>
      </c>
      <c r="D64" t="s">
        <v>13</v>
      </c>
      <c r="E64">
        <v>50</v>
      </c>
      <c r="F64" t="s">
        <v>11</v>
      </c>
      <c r="G64">
        <v>2</v>
      </c>
      <c r="H64">
        <v>500</v>
      </c>
      <c r="I64">
        <v>1000</v>
      </c>
    </row>
    <row r="65" spans="1:9" x14ac:dyDescent="0.3">
      <c r="A65">
        <v>97</v>
      </c>
      <c r="B65" s="1">
        <v>45212</v>
      </c>
      <c r="C65" t="s">
        <v>110</v>
      </c>
      <c r="D65" t="s">
        <v>13</v>
      </c>
      <c r="E65">
        <v>51</v>
      </c>
      <c r="F65" t="s">
        <v>11</v>
      </c>
      <c r="G65">
        <v>2</v>
      </c>
      <c r="H65">
        <v>500</v>
      </c>
      <c r="I65">
        <v>1000</v>
      </c>
    </row>
    <row r="66" spans="1:9" x14ac:dyDescent="0.3">
      <c r="A66">
        <v>994</v>
      </c>
      <c r="B66" s="1">
        <v>45278</v>
      </c>
      <c r="C66" t="s">
        <v>1007</v>
      </c>
      <c r="D66" t="s">
        <v>13</v>
      </c>
      <c r="E66">
        <v>51</v>
      </c>
      <c r="F66" t="s">
        <v>11</v>
      </c>
      <c r="G66">
        <v>2</v>
      </c>
      <c r="H66">
        <v>500</v>
      </c>
      <c r="I66">
        <v>1000</v>
      </c>
    </row>
    <row r="67" spans="1:9" x14ac:dyDescent="0.3">
      <c r="A67">
        <v>990</v>
      </c>
      <c r="B67" s="1">
        <v>45071</v>
      </c>
      <c r="C67" t="s">
        <v>1003</v>
      </c>
      <c r="D67" t="s">
        <v>13</v>
      </c>
      <c r="E67">
        <v>58</v>
      </c>
      <c r="F67" t="s">
        <v>11</v>
      </c>
      <c r="G67">
        <v>2</v>
      </c>
      <c r="H67">
        <v>500</v>
      </c>
      <c r="I67">
        <v>1000</v>
      </c>
    </row>
    <row r="68" spans="1:9" x14ac:dyDescent="0.3">
      <c r="A68">
        <v>600</v>
      </c>
      <c r="B68" s="1">
        <v>45221</v>
      </c>
      <c r="C68" t="s">
        <v>613</v>
      </c>
      <c r="D68" t="s">
        <v>13</v>
      </c>
      <c r="E68">
        <v>59</v>
      </c>
      <c r="F68" t="s">
        <v>11</v>
      </c>
      <c r="G68">
        <v>2</v>
      </c>
      <c r="H68">
        <v>500</v>
      </c>
      <c r="I68">
        <v>1000</v>
      </c>
    </row>
    <row r="69" spans="1:9" x14ac:dyDescent="0.3">
      <c r="A69">
        <v>161</v>
      </c>
      <c r="B69" s="1">
        <v>45007</v>
      </c>
      <c r="C69" t="s">
        <v>174</v>
      </c>
      <c r="D69" t="s">
        <v>10</v>
      </c>
      <c r="E69">
        <v>64</v>
      </c>
      <c r="F69" t="s">
        <v>11</v>
      </c>
      <c r="G69">
        <v>2</v>
      </c>
      <c r="H69">
        <v>500</v>
      </c>
      <c r="I69">
        <v>1000</v>
      </c>
    </row>
    <row r="70" spans="1:9" x14ac:dyDescent="0.3">
      <c r="A70">
        <v>722</v>
      </c>
      <c r="B70" s="1">
        <v>45121</v>
      </c>
      <c r="C70" t="s">
        <v>735</v>
      </c>
      <c r="D70" t="s">
        <v>10</v>
      </c>
      <c r="E70">
        <v>20</v>
      </c>
      <c r="F70" t="s">
        <v>11</v>
      </c>
      <c r="G70">
        <v>3</v>
      </c>
      <c r="H70">
        <v>300</v>
      </c>
      <c r="I70">
        <v>900</v>
      </c>
    </row>
    <row r="71" spans="1:9" x14ac:dyDescent="0.3">
      <c r="A71">
        <v>295</v>
      </c>
      <c r="B71" s="1">
        <v>45135</v>
      </c>
      <c r="C71" t="s">
        <v>308</v>
      </c>
      <c r="D71" t="s">
        <v>13</v>
      </c>
      <c r="E71">
        <v>27</v>
      </c>
      <c r="F71" t="s">
        <v>11</v>
      </c>
      <c r="G71">
        <v>3</v>
      </c>
      <c r="H71">
        <v>300</v>
      </c>
      <c r="I71">
        <v>900</v>
      </c>
    </row>
    <row r="72" spans="1:9" x14ac:dyDescent="0.3">
      <c r="A72">
        <v>323</v>
      </c>
      <c r="B72" s="1">
        <v>44952</v>
      </c>
      <c r="C72" t="s">
        <v>336</v>
      </c>
      <c r="D72" t="s">
        <v>13</v>
      </c>
      <c r="E72">
        <v>29</v>
      </c>
      <c r="F72" t="s">
        <v>11</v>
      </c>
      <c r="G72">
        <v>3</v>
      </c>
      <c r="H72">
        <v>300</v>
      </c>
      <c r="I72">
        <v>900</v>
      </c>
    </row>
    <row r="73" spans="1:9" x14ac:dyDescent="0.3">
      <c r="A73">
        <v>435</v>
      </c>
      <c r="B73" s="1">
        <v>45280</v>
      </c>
      <c r="C73" t="s">
        <v>448</v>
      </c>
      <c r="D73" t="s">
        <v>13</v>
      </c>
      <c r="E73">
        <v>30</v>
      </c>
      <c r="F73" t="s">
        <v>11</v>
      </c>
      <c r="G73">
        <v>3</v>
      </c>
      <c r="H73">
        <v>300</v>
      </c>
      <c r="I73">
        <v>900</v>
      </c>
    </row>
    <row r="74" spans="1:9" x14ac:dyDescent="0.3">
      <c r="A74">
        <v>923</v>
      </c>
      <c r="B74" s="1">
        <v>45072</v>
      </c>
      <c r="C74" t="s">
        <v>936</v>
      </c>
      <c r="D74" t="s">
        <v>10</v>
      </c>
      <c r="E74">
        <v>32</v>
      </c>
      <c r="F74" t="s">
        <v>11</v>
      </c>
      <c r="G74">
        <v>3</v>
      </c>
      <c r="H74">
        <v>300</v>
      </c>
      <c r="I74">
        <v>900</v>
      </c>
    </row>
    <row r="75" spans="1:9" x14ac:dyDescent="0.3">
      <c r="A75">
        <v>624</v>
      </c>
      <c r="B75" s="1">
        <v>45164</v>
      </c>
      <c r="C75" t="s">
        <v>637</v>
      </c>
      <c r="D75" t="s">
        <v>13</v>
      </c>
      <c r="E75">
        <v>34</v>
      </c>
      <c r="F75" t="s">
        <v>11</v>
      </c>
      <c r="G75">
        <v>3</v>
      </c>
      <c r="H75">
        <v>300</v>
      </c>
      <c r="I75">
        <v>900</v>
      </c>
    </row>
    <row r="76" spans="1:9" x14ac:dyDescent="0.3">
      <c r="A76">
        <v>806</v>
      </c>
      <c r="B76" s="1">
        <v>45005</v>
      </c>
      <c r="C76" t="s">
        <v>819</v>
      </c>
      <c r="D76" t="s">
        <v>13</v>
      </c>
      <c r="E76">
        <v>35</v>
      </c>
      <c r="F76" t="s">
        <v>11</v>
      </c>
      <c r="G76">
        <v>3</v>
      </c>
      <c r="H76">
        <v>300</v>
      </c>
      <c r="I76">
        <v>900</v>
      </c>
    </row>
    <row r="77" spans="1:9" x14ac:dyDescent="0.3">
      <c r="A77">
        <v>472</v>
      </c>
      <c r="B77" s="1">
        <v>45286</v>
      </c>
      <c r="C77" t="s">
        <v>485</v>
      </c>
      <c r="D77" t="s">
        <v>13</v>
      </c>
      <c r="E77">
        <v>38</v>
      </c>
      <c r="F77" t="s">
        <v>11</v>
      </c>
      <c r="G77">
        <v>3</v>
      </c>
      <c r="H77">
        <v>300</v>
      </c>
      <c r="I77">
        <v>900</v>
      </c>
    </row>
    <row r="78" spans="1:9" x14ac:dyDescent="0.3">
      <c r="A78">
        <v>30</v>
      </c>
      <c r="B78" s="1">
        <v>45228</v>
      </c>
      <c r="C78" t="s">
        <v>43</v>
      </c>
      <c r="D78" t="s">
        <v>13</v>
      </c>
      <c r="E78">
        <v>39</v>
      </c>
      <c r="F78" t="s">
        <v>11</v>
      </c>
      <c r="G78">
        <v>3</v>
      </c>
      <c r="H78">
        <v>300</v>
      </c>
      <c r="I78">
        <v>900</v>
      </c>
    </row>
    <row r="79" spans="1:9" x14ac:dyDescent="0.3">
      <c r="A79">
        <v>183</v>
      </c>
      <c r="B79" s="1">
        <v>45177</v>
      </c>
      <c r="C79" t="s">
        <v>196</v>
      </c>
      <c r="D79" t="s">
        <v>13</v>
      </c>
      <c r="E79">
        <v>43</v>
      </c>
      <c r="F79" t="s">
        <v>11</v>
      </c>
      <c r="G79">
        <v>3</v>
      </c>
      <c r="H79">
        <v>300</v>
      </c>
      <c r="I79">
        <v>900</v>
      </c>
    </row>
    <row r="80" spans="1:9" x14ac:dyDescent="0.3">
      <c r="A80">
        <v>708</v>
      </c>
      <c r="B80" s="1">
        <v>44940</v>
      </c>
      <c r="C80" t="s">
        <v>721</v>
      </c>
      <c r="D80" t="s">
        <v>13</v>
      </c>
      <c r="E80">
        <v>43</v>
      </c>
      <c r="F80" t="s">
        <v>11</v>
      </c>
      <c r="G80">
        <v>3</v>
      </c>
      <c r="H80">
        <v>300</v>
      </c>
      <c r="I80">
        <v>900</v>
      </c>
    </row>
    <row r="81" spans="1:9" x14ac:dyDescent="0.3">
      <c r="A81">
        <v>36</v>
      </c>
      <c r="B81" s="1">
        <v>45101</v>
      </c>
      <c r="C81" t="s">
        <v>49</v>
      </c>
      <c r="D81" t="s">
        <v>10</v>
      </c>
      <c r="E81">
        <v>52</v>
      </c>
      <c r="F81" t="s">
        <v>11</v>
      </c>
      <c r="G81">
        <v>3</v>
      </c>
      <c r="H81">
        <v>300</v>
      </c>
      <c r="I81">
        <v>900</v>
      </c>
    </row>
    <row r="82" spans="1:9" x14ac:dyDescent="0.3">
      <c r="A82">
        <v>788</v>
      </c>
      <c r="B82" s="1">
        <v>45104</v>
      </c>
      <c r="C82" t="s">
        <v>801</v>
      </c>
      <c r="D82" t="s">
        <v>13</v>
      </c>
      <c r="E82">
        <v>52</v>
      </c>
      <c r="F82" t="s">
        <v>11</v>
      </c>
      <c r="G82">
        <v>3</v>
      </c>
      <c r="H82">
        <v>300</v>
      </c>
      <c r="I82">
        <v>900</v>
      </c>
    </row>
    <row r="83" spans="1:9" x14ac:dyDescent="0.3">
      <c r="A83">
        <v>198</v>
      </c>
      <c r="B83" s="1">
        <v>44992</v>
      </c>
      <c r="C83" t="s">
        <v>211</v>
      </c>
      <c r="D83" t="s">
        <v>13</v>
      </c>
      <c r="E83">
        <v>54</v>
      </c>
      <c r="F83" t="s">
        <v>11</v>
      </c>
      <c r="G83">
        <v>3</v>
      </c>
      <c r="H83">
        <v>300</v>
      </c>
      <c r="I83">
        <v>900</v>
      </c>
    </row>
    <row r="84" spans="1:9" x14ac:dyDescent="0.3">
      <c r="A84">
        <v>727</v>
      </c>
      <c r="B84" s="1">
        <v>45099</v>
      </c>
      <c r="C84" t="s">
        <v>740</v>
      </c>
      <c r="D84" t="s">
        <v>10</v>
      </c>
      <c r="E84">
        <v>55</v>
      </c>
      <c r="F84" t="s">
        <v>11</v>
      </c>
      <c r="G84">
        <v>3</v>
      </c>
      <c r="H84">
        <v>300</v>
      </c>
      <c r="I84">
        <v>900</v>
      </c>
    </row>
    <row r="85" spans="1:9" x14ac:dyDescent="0.3">
      <c r="A85">
        <v>35</v>
      </c>
      <c r="B85" s="1">
        <v>45143</v>
      </c>
      <c r="C85" t="s">
        <v>48</v>
      </c>
      <c r="D85" t="s">
        <v>13</v>
      </c>
      <c r="E85">
        <v>58</v>
      </c>
      <c r="F85" t="s">
        <v>11</v>
      </c>
      <c r="G85">
        <v>3</v>
      </c>
      <c r="H85">
        <v>300</v>
      </c>
      <c r="I85">
        <v>900</v>
      </c>
    </row>
    <row r="86" spans="1:9" x14ac:dyDescent="0.3">
      <c r="A86">
        <v>457</v>
      </c>
      <c r="B86" s="1">
        <v>45135</v>
      </c>
      <c r="C86" t="s">
        <v>470</v>
      </c>
      <c r="D86" t="s">
        <v>13</v>
      </c>
      <c r="E86">
        <v>58</v>
      </c>
      <c r="F86" t="s">
        <v>11</v>
      </c>
      <c r="G86">
        <v>3</v>
      </c>
      <c r="H86">
        <v>300</v>
      </c>
      <c r="I86">
        <v>900</v>
      </c>
    </row>
    <row r="87" spans="1:9" x14ac:dyDescent="0.3">
      <c r="A87">
        <v>827</v>
      </c>
      <c r="B87" s="1">
        <v>45239</v>
      </c>
      <c r="C87" t="s">
        <v>840</v>
      </c>
      <c r="D87" t="s">
        <v>10</v>
      </c>
      <c r="E87">
        <v>61</v>
      </c>
      <c r="F87" t="s">
        <v>11</v>
      </c>
      <c r="G87">
        <v>3</v>
      </c>
      <c r="H87">
        <v>300</v>
      </c>
      <c r="I87">
        <v>900</v>
      </c>
    </row>
    <row r="88" spans="1:9" x14ac:dyDescent="0.3">
      <c r="A88">
        <v>129</v>
      </c>
      <c r="B88" s="1">
        <v>45039</v>
      </c>
      <c r="C88" t="s">
        <v>142</v>
      </c>
      <c r="D88" t="s">
        <v>13</v>
      </c>
      <c r="E88">
        <v>21</v>
      </c>
      <c r="F88" t="s">
        <v>11</v>
      </c>
      <c r="G88">
        <v>2</v>
      </c>
      <c r="H88">
        <v>300</v>
      </c>
      <c r="I88">
        <v>600</v>
      </c>
    </row>
    <row r="89" spans="1:9" x14ac:dyDescent="0.3">
      <c r="A89">
        <v>131</v>
      </c>
      <c r="B89" s="1">
        <v>45187</v>
      </c>
      <c r="C89" t="s">
        <v>144</v>
      </c>
      <c r="D89" t="s">
        <v>13</v>
      </c>
      <c r="E89">
        <v>21</v>
      </c>
      <c r="F89" t="s">
        <v>11</v>
      </c>
      <c r="G89">
        <v>2</v>
      </c>
      <c r="H89">
        <v>300</v>
      </c>
      <c r="I89">
        <v>600</v>
      </c>
    </row>
    <row r="90" spans="1:9" x14ac:dyDescent="0.3">
      <c r="A90">
        <v>373</v>
      </c>
      <c r="B90" s="1">
        <v>45202</v>
      </c>
      <c r="C90" t="s">
        <v>386</v>
      </c>
      <c r="D90" t="s">
        <v>13</v>
      </c>
      <c r="E90">
        <v>25</v>
      </c>
      <c r="F90" t="s">
        <v>11</v>
      </c>
      <c r="G90">
        <v>2</v>
      </c>
      <c r="H90">
        <v>300</v>
      </c>
      <c r="I90">
        <v>600</v>
      </c>
    </row>
    <row r="91" spans="1:9" x14ac:dyDescent="0.3">
      <c r="A91">
        <v>610</v>
      </c>
      <c r="B91" s="1">
        <v>44929</v>
      </c>
      <c r="C91" t="s">
        <v>623</v>
      </c>
      <c r="D91" t="s">
        <v>13</v>
      </c>
      <c r="E91">
        <v>26</v>
      </c>
      <c r="F91" t="s">
        <v>11</v>
      </c>
      <c r="G91">
        <v>2</v>
      </c>
      <c r="H91">
        <v>300</v>
      </c>
      <c r="I91">
        <v>600</v>
      </c>
    </row>
    <row r="92" spans="1:9" x14ac:dyDescent="0.3">
      <c r="A92">
        <v>290</v>
      </c>
      <c r="B92" s="1">
        <v>45203</v>
      </c>
      <c r="C92" t="s">
        <v>303</v>
      </c>
      <c r="D92" t="s">
        <v>13</v>
      </c>
      <c r="E92">
        <v>30</v>
      </c>
      <c r="F92" t="s">
        <v>11</v>
      </c>
      <c r="G92">
        <v>2</v>
      </c>
      <c r="H92">
        <v>300</v>
      </c>
      <c r="I92">
        <v>600</v>
      </c>
    </row>
    <row r="93" spans="1:9" x14ac:dyDescent="0.3">
      <c r="A93">
        <v>221</v>
      </c>
      <c r="B93" s="1">
        <v>45053</v>
      </c>
      <c r="C93" t="s">
        <v>234</v>
      </c>
      <c r="D93" t="s">
        <v>10</v>
      </c>
      <c r="E93">
        <v>39</v>
      </c>
      <c r="F93" t="s">
        <v>11</v>
      </c>
      <c r="G93">
        <v>2</v>
      </c>
      <c r="H93">
        <v>300</v>
      </c>
      <c r="I93">
        <v>600</v>
      </c>
    </row>
    <row r="94" spans="1:9" x14ac:dyDescent="0.3">
      <c r="A94">
        <v>976</v>
      </c>
      <c r="B94" s="1">
        <v>45209</v>
      </c>
      <c r="C94" t="s">
        <v>989</v>
      </c>
      <c r="D94" t="s">
        <v>13</v>
      </c>
      <c r="E94">
        <v>48</v>
      </c>
      <c r="F94" t="s">
        <v>11</v>
      </c>
      <c r="G94">
        <v>2</v>
      </c>
      <c r="H94">
        <v>300</v>
      </c>
      <c r="I94">
        <v>600</v>
      </c>
    </row>
    <row r="95" spans="1:9" x14ac:dyDescent="0.3">
      <c r="A95">
        <v>543</v>
      </c>
      <c r="B95" s="1">
        <v>45133</v>
      </c>
      <c r="C95" t="s">
        <v>556</v>
      </c>
      <c r="D95" t="s">
        <v>10</v>
      </c>
      <c r="E95">
        <v>49</v>
      </c>
      <c r="F95" t="s">
        <v>11</v>
      </c>
      <c r="G95">
        <v>2</v>
      </c>
      <c r="H95">
        <v>300</v>
      </c>
      <c r="I95">
        <v>600</v>
      </c>
    </row>
    <row r="96" spans="1:9" x14ac:dyDescent="0.3">
      <c r="A96">
        <v>233</v>
      </c>
      <c r="B96" s="1">
        <v>45289</v>
      </c>
      <c r="C96" t="s">
        <v>246</v>
      </c>
      <c r="D96" t="s">
        <v>13</v>
      </c>
      <c r="E96">
        <v>51</v>
      </c>
      <c r="F96" t="s">
        <v>11</v>
      </c>
      <c r="G96">
        <v>2</v>
      </c>
      <c r="H96">
        <v>300</v>
      </c>
      <c r="I96">
        <v>600</v>
      </c>
    </row>
    <row r="97" spans="1:9" x14ac:dyDescent="0.3">
      <c r="A97">
        <v>302</v>
      </c>
      <c r="B97" s="1">
        <v>45121</v>
      </c>
      <c r="C97" t="s">
        <v>315</v>
      </c>
      <c r="D97" t="s">
        <v>10</v>
      </c>
      <c r="E97">
        <v>57</v>
      </c>
      <c r="F97" t="s">
        <v>11</v>
      </c>
      <c r="G97">
        <v>2</v>
      </c>
      <c r="H97">
        <v>300</v>
      </c>
      <c r="I97">
        <v>600</v>
      </c>
    </row>
    <row r="98" spans="1:9" x14ac:dyDescent="0.3">
      <c r="A98">
        <v>508</v>
      </c>
      <c r="B98" s="1">
        <v>45149</v>
      </c>
      <c r="C98" t="s">
        <v>521</v>
      </c>
      <c r="D98" t="s">
        <v>10</v>
      </c>
      <c r="E98">
        <v>58</v>
      </c>
      <c r="F98" t="s">
        <v>11</v>
      </c>
      <c r="G98">
        <v>2</v>
      </c>
      <c r="H98">
        <v>300</v>
      </c>
      <c r="I98">
        <v>600</v>
      </c>
    </row>
    <row r="99" spans="1:9" x14ac:dyDescent="0.3">
      <c r="A99">
        <v>364</v>
      </c>
      <c r="B99" s="1">
        <v>45161</v>
      </c>
      <c r="C99" t="s">
        <v>377</v>
      </c>
      <c r="D99" t="s">
        <v>13</v>
      </c>
      <c r="E99">
        <v>19</v>
      </c>
      <c r="F99" t="s">
        <v>11</v>
      </c>
      <c r="G99">
        <v>1</v>
      </c>
      <c r="H99">
        <v>500</v>
      </c>
      <c r="I99">
        <v>500</v>
      </c>
    </row>
    <row r="100" spans="1:9" x14ac:dyDescent="0.3">
      <c r="A100">
        <v>537</v>
      </c>
      <c r="B100" s="1">
        <v>45080</v>
      </c>
      <c r="C100" t="s">
        <v>550</v>
      </c>
      <c r="D100" t="s">
        <v>13</v>
      </c>
      <c r="E100">
        <v>21</v>
      </c>
      <c r="F100" t="s">
        <v>11</v>
      </c>
      <c r="G100">
        <v>1</v>
      </c>
      <c r="H100">
        <v>500</v>
      </c>
      <c r="I100">
        <v>500</v>
      </c>
    </row>
    <row r="101" spans="1:9" x14ac:dyDescent="0.3">
      <c r="A101">
        <v>128</v>
      </c>
      <c r="B101" s="1">
        <v>45112</v>
      </c>
      <c r="C101" t="s">
        <v>141</v>
      </c>
      <c r="D101" t="s">
        <v>10</v>
      </c>
      <c r="E101">
        <v>25</v>
      </c>
      <c r="F101" t="s">
        <v>11</v>
      </c>
      <c r="G101">
        <v>1</v>
      </c>
      <c r="H101">
        <v>500</v>
      </c>
      <c r="I101">
        <v>500</v>
      </c>
    </row>
    <row r="102" spans="1:9" x14ac:dyDescent="0.3">
      <c r="A102">
        <v>539</v>
      </c>
      <c r="B102" s="1">
        <v>45085</v>
      </c>
      <c r="C102" t="s">
        <v>552</v>
      </c>
      <c r="D102" t="s">
        <v>10</v>
      </c>
      <c r="E102">
        <v>25</v>
      </c>
      <c r="F102" t="s">
        <v>11</v>
      </c>
      <c r="G102">
        <v>1</v>
      </c>
      <c r="H102">
        <v>500</v>
      </c>
      <c r="I102">
        <v>500</v>
      </c>
    </row>
    <row r="103" spans="1:9" x14ac:dyDescent="0.3">
      <c r="A103">
        <v>760</v>
      </c>
      <c r="B103" s="1">
        <v>45012</v>
      </c>
      <c r="C103" t="s">
        <v>773</v>
      </c>
      <c r="D103" t="s">
        <v>10</v>
      </c>
      <c r="E103">
        <v>27</v>
      </c>
      <c r="F103" t="s">
        <v>11</v>
      </c>
      <c r="G103">
        <v>1</v>
      </c>
      <c r="H103">
        <v>500</v>
      </c>
      <c r="I103">
        <v>500</v>
      </c>
    </row>
    <row r="104" spans="1:9" x14ac:dyDescent="0.3">
      <c r="A104">
        <v>934</v>
      </c>
      <c r="B104" s="1">
        <v>45132</v>
      </c>
      <c r="C104" t="s">
        <v>947</v>
      </c>
      <c r="D104" t="s">
        <v>10</v>
      </c>
      <c r="E104">
        <v>30</v>
      </c>
      <c r="F104" t="s">
        <v>11</v>
      </c>
      <c r="G104">
        <v>1</v>
      </c>
      <c r="H104">
        <v>500</v>
      </c>
      <c r="I104">
        <v>500</v>
      </c>
    </row>
    <row r="105" spans="1:9" x14ac:dyDescent="0.3">
      <c r="A105">
        <v>781</v>
      </c>
      <c r="B105" s="1">
        <v>45283</v>
      </c>
      <c r="C105" t="s">
        <v>794</v>
      </c>
      <c r="D105" t="s">
        <v>10</v>
      </c>
      <c r="E105">
        <v>35</v>
      </c>
      <c r="F105" t="s">
        <v>11</v>
      </c>
      <c r="G105">
        <v>1</v>
      </c>
      <c r="H105">
        <v>500</v>
      </c>
      <c r="I105">
        <v>500</v>
      </c>
    </row>
    <row r="106" spans="1:9" x14ac:dyDescent="0.3">
      <c r="A106">
        <v>238</v>
      </c>
      <c r="B106" s="1">
        <v>44943</v>
      </c>
      <c r="C106" t="s">
        <v>251</v>
      </c>
      <c r="D106" t="s">
        <v>13</v>
      </c>
      <c r="E106">
        <v>39</v>
      </c>
      <c r="F106" t="s">
        <v>11</v>
      </c>
      <c r="G106">
        <v>1</v>
      </c>
      <c r="H106">
        <v>500</v>
      </c>
      <c r="I106">
        <v>500</v>
      </c>
    </row>
    <row r="107" spans="1:9" x14ac:dyDescent="0.3">
      <c r="A107">
        <v>28</v>
      </c>
      <c r="B107" s="1">
        <v>45039</v>
      </c>
      <c r="C107" t="s">
        <v>41</v>
      </c>
      <c r="D107" t="s">
        <v>13</v>
      </c>
      <c r="E107">
        <v>43</v>
      </c>
      <c r="F107" t="s">
        <v>11</v>
      </c>
      <c r="G107">
        <v>1</v>
      </c>
      <c r="H107">
        <v>500</v>
      </c>
      <c r="I107">
        <v>500</v>
      </c>
    </row>
    <row r="108" spans="1:9" x14ac:dyDescent="0.3">
      <c r="A108">
        <v>21</v>
      </c>
      <c r="B108" s="1">
        <v>44940</v>
      </c>
      <c r="C108" t="s">
        <v>34</v>
      </c>
      <c r="D108" t="s">
        <v>13</v>
      </c>
      <c r="E108">
        <v>50</v>
      </c>
      <c r="F108" t="s">
        <v>11</v>
      </c>
      <c r="G108">
        <v>1</v>
      </c>
      <c r="H108">
        <v>500</v>
      </c>
      <c r="I108">
        <v>500</v>
      </c>
    </row>
    <row r="109" spans="1:9" x14ac:dyDescent="0.3">
      <c r="A109">
        <v>541</v>
      </c>
      <c r="B109" s="1">
        <v>45136</v>
      </c>
      <c r="C109" t="s">
        <v>554</v>
      </c>
      <c r="D109" t="s">
        <v>10</v>
      </c>
      <c r="E109">
        <v>56</v>
      </c>
      <c r="F109" t="s">
        <v>11</v>
      </c>
      <c r="G109">
        <v>1</v>
      </c>
      <c r="H109">
        <v>500</v>
      </c>
      <c r="I109">
        <v>500</v>
      </c>
    </row>
    <row r="110" spans="1:9" x14ac:dyDescent="0.3">
      <c r="A110">
        <v>937</v>
      </c>
      <c r="B110" s="1">
        <v>45222</v>
      </c>
      <c r="C110" t="s">
        <v>950</v>
      </c>
      <c r="D110" t="s">
        <v>13</v>
      </c>
      <c r="E110">
        <v>62</v>
      </c>
      <c r="F110" t="s">
        <v>11</v>
      </c>
      <c r="G110">
        <v>1</v>
      </c>
      <c r="H110">
        <v>500</v>
      </c>
      <c r="I110">
        <v>500</v>
      </c>
    </row>
    <row r="111" spans="1:9" x14ac:dyDescent="0.3">
      <c r="A111">
        <v>220</v>
      </c>
      <c r="B111" s="1">
        <v>44988</v>
      </c>
      <c r="C111" t="s">
        <v>233</v>
      </c>
      <c r="D111" t="s">
        <v>10</v>
      </c>
      <c r="E111">
        <v>64</v>
      </c>
      <c r="F111" t="s">
        <v>11</v>
      </c>
      <c r="G111">
        <v>1</v>
      </c>
      <c r="H111">
        <v>500</v>
      </c>
      <c r="I111">
        <v>500</v>
      </c>
    </row>
    <row r="112" spans="1:9" x14ac:dyDescent="0.3">
      <c r="A112">
        <v>408</v>
      </c>
      <c r="B112" s="1">
        <v>45031</v>
      </c>
      <c r="C112" t="s">
        <v>421</v>
      </c>
      <c r="D112" t="s">
        <v>13</v>
      </c>
      <c r="E112">
        <v>64</v>
      </c>
      <c r="F112" t="s">
        <v>11</v>
      </c>
      <c r="G112">
        <v>1</v>
      </c>
      <c r="H112">
        <v>500</v>
      </c>
      <c r="I112">
        <v>500</v>
      </c>
    </row>
    <row r="113" spans="1:9" x14ac:dyDescent="0.3">
      <c r="A113">
        <v>240</v>
      </c>
      <c r="B113" s="1">
        <v>44963</v>
      </c>
      <c r="C113" t="s">
        <v>253</v>
      </c>
      <c r="D113" t="s">
        <v>13</v>
      </c>
      <c r="E113">
        <v>23</v>
      </c>
      <c r="F113" t="s">
        <v>11</v>
      </c>
      <c r="G113">
        <v>1</v>
      </c>
      <c r="H113">
        <v>300</v>
      </c>
      <c r="I113">
        <v>300</v>
      </c>
    </row>
    <row r="114" spans="1:9" x14ac:dyDescent="0.3">
      <c r="A114">
        <v>555</v>
      </c>
      <c r="B114" s="1">
        <v>45218</v>
      </c>
      <c r="C114" t="s">
        <v>568</v>
      </c>
      <c r="D114" t="s">
        <v>10</v>
      </c>
      <c r="E114">
        <v>25</v>
      </c>
      <c r="F114" t="s">
        <v>11</v>
      </c>
      <c r="G114">
        <v>1</v>
      </c>
      <c r="H114">
        <v>300</v>
      </c>
      <c r="I114">
        <v>300</v>
      </c>
    </row>
    <row r="115" spans="1:9" x14ac:dyDescent="0.3">
      <c r="A115">
        <v>358</v>
      </c>
      <c r="B115" s="1">
        <v>45062</v>
      </c>
      <c r="C115" t="s">
        <v>371</v>
      </c>
      <c r="D115" t="s">
        <v>13</v>
      </c>
      <c r="E115">
        <v>32</v>
      </c>
      <c r="F115" t="s">
        <v>11</v>
      </c>
      <c r="G115">
        <v>1</v>
      </c>
      <c r="H115">
        <v>300</v>
      </c>
      <c r="I115">
        <v>300</v>
      </c>
    </row>
    <row r="116" spans="1:9" x14ac:dyDescent="0.3">
      <c r="A116">
        <v>79</v>
      </c>
      <c r="B116" s="1">
        <v>45034</v>
      </c>
      <c r="C116" t="s">
        <v>92</v>
      </c>
      <c r="D116" t="s">
        <v>10</v>
      </c>
      <c r="E116">
        <v>34</v>
      </c>
      <c r="F116" t="s">
        <v>11</v>
      </c>
      <c r="G116">
        <v>1</v>
      </c>
      <c r="H116">
        <v>300</v>
      </c>
      <c r="I116">
        <v>300</v>
      </c>
    </row>
    <row r="117" spans="1:9" x14ac:dyDescent="0.3">
      <c r="A117">
        <v>52</v>
      </c>
      <c r="B117" s="1">
        <v>44990</v>
      </c>
      <c r="C117" t="s">
        <v>65</v>
      </c>
      <c r="D117" t="s">
        <v>13</v>
      </c>
      <c r="E117">
        <v>36</v>
      </c>
      <c r="F117" t="s">
        <v>11</v>
      </c>
      <c r="G117">
        <v>1</v>
      </c>
      <c r="H117">
        <v>300</v>
      </c>
      <c r="I117">
        <v>300</v>
      </c>
    </row>
    <row r="118" spans="1:9" x14ac:dyDescent="0.3">
      <c r="A118">
        <v>174</v>
      </c>
      <c r="B118" s="1">
        <v>45028</v>
      </c>
      <c r="C118" t="s">
        <v>187</v>
      </c>
      <c r="D118" t="s">
        <v>13</v>
      </c>
      <c r="E118">
        <v>39</v>
      </c>
      <c r="F118" t="s">
        <v>11</v>
      </c>
      <c r="G118">
        <v>1</v>
      </c>
      <c r="H118">
        <v>300</v>
      </c>
      <c r="I118">
        <v>300</v>
      </c>
    </row>
    <row r="119" spans="1:9" x14ac:dyDescent="0.3">
      <c r="A119">
        <v>378</v>
      </c>
      <c r="B119" s="1">
        <v>45105</v>
      </c>
      <c r="C119" t="s">
        <v>391</v>
      </c>
      <c r="D119" t="s">
        <v>10</v>
      </c>
      <c r="E119">
        <v>50</v>
      </c>
      <c r="F119" t="s">
        <v>11</v>
      </c>
      <c r="G119">
        <v>1</v>
      </c>
      <c r="H119">
        <v>300</v>
      </c>
      <c r="I119">
        <v>300</v>
      </c>
    </row>
    <row r="120" spans="1:9" x14ac:dyDescent="0.3">
      <c r="A120">
        <v>947</v>
      </c>
      <c r="B120" s="1">
        <v>44987</v>
      </c>
      <c r="C120" t="s">
        <v>960</v>
      </c>
      <c r="D120" t="s">
        <v>10</v>
      </c>
      <c r="E120">
        <v>50</v>
      </c>
      <c r="F120" t="s">
        <v>11</v>
      </c>
      <c r="G120">
        <v>1</v>
      </c>
      <c r="H120">
        <v>300</v>
      </c>
      <c r="I120">
        <v>300</v>
      </c>
    </row>
    <row r="121" spans="1:9" x14ac:dyDescent="0.3">
      <c r="A121">
        <v>905</v>
      </c>
      <c r="B121" s="1">
        <v>45018</v>
      </c>
      <c r="C121" t="s">
        <v>918</v>
      </c>
      <c r="D121" t="s">
        <v>10</v>
      </c>
      <c r="E121">
        <v>58</v>
      </c>
      <c r="F121" t="s">
        <v>11</v>
      </c>
      <c r="G121">
        <v>1</v>
      </c>
      <c r="H121">
        <v>300</v>
      </c>
      <c r="I121">
        <v>300</v>
      </c>
    </row>
    <row r="122" spans="1:9" x14ac:dyDescent="0.3">
      <c r="A122">
        <v>794</v>
      </c>
      <c r="B122" s="1">
        <v>45186</v>
      </c>
      <c r="C122" t="s">
        <v>807</v>
      </c>
      <c r="D122" t="s">
        <v>13</v>
      </c>
      <c r="E122">
        <v>60</v>
      </c>
      <c r="F122" t="s">
        <v>11</v>
      </c>
      <c r="G122">
        <v>1</v>
      </c>
      <c r="H122">
        <v>300</v>
      </c>
      <c r="I122">
        <v>300</v>
      </c>
    </row>
    <row r="123" spans="1:9" x14ac:dyDescent="0.3">
      <c r="A123">
        <v>628</v>
      </c>
      <c r="B123" s="1">
        <v>45231</v>
      </c>
      <c r="C123" t="s">
        <v>641</v>
      </c>
      <c r="D123" t="s">
        <v>13</v>
      </c>
      <c r="E123">
        <v>19</v>
      </c>
      <c r="F123" t="s">
        <v>11</v>
      </c>
      <c r="G123">
        <v>4</v>
      </c>
      <c r="H123">
        <v>50</v>
      </c>
      <c r="I123">
        <v>200</v>
      </c>
    </row>
    <row r="124" spans="1:9" x14ac:dyDescent="0.3">
      <c r="A124">
        <v>61</v>
      </c>
      <c r="B124" s="1">
        <v>45025</v>
      </c>
      <c r="C124" t="s">
        <v>74</v>
      </c>
      <c r="D124" t="s">
        <v>10</v>
      </c>
      <c r="E124">
        <v>21</v>
      </c>
      <c r="F124" t="s">
        <v>11</v>
      </c>
      <c r="G124">
        <v>4</v>
      </c>
      <c r="H124">
        <v>50</v>
      </c>
      <c r="I124">
        <v>200</v>
      </c>
    </row>
    <row r="125" spans="1:9" x14ac:dyDescent="0.3">
      <c r="A125">
        <v>330</v>
      </c>
      <c r="B125" s="1">
        <v>45187</v>
      </c>
      <c r="C125" t="s">
        <v>343</v>
      </c>
      <c r="D125" t="s">
        <v>13</v>
      </c>
      <c r="E125">
        <v>25</v>
      </c>
      <c r="F125" t="s">
        <v>11</v>
      </c>
      <c r="G125">
        <v>4</v>
      </c>
      <c r="H125">
        <v>50</v>
      </c>
      <c r="I125">
        <v>200</v>
      </c>
    </row>
    <row r="126" spans="1:9" x14ac:dyDescent="0.3">
      <c r="A126">
        <v>740</v>
      </c>
      <c r="B126" s="1">
        <v>44962</v>
      </c>
      <c r="C126" t="s">
        <v>753</v>
      </c>
      <c r="D126" t="s">
        <v>13</v>
      </c>
      <c r="E126">
        <v>25</v>
      </c>
      <c r="F126" t="s">
        <v>11</v>
      </c>
      <c r="G126">
        <v>4</v>
      </c>
      <c r="H126">
        <v>50</v>
      </c>
      <c r="I126">
        <v>200</v>
      </c>
    </row>
    <row r="127" spans="1:9" x14ac:dyDescent="0.3">
      <c r="A127">
        <v>584</v>
      </c>
      <c r="B127" s="1">
        <v>44974</v>
      </c>
      <c r="C127" t="s">
        <v>597</v>
      </c>
      <c r="D127" t="s">
        <v>13</v>
      </c>
      <c r="E127">
        <v>27</v>
      </c>
      <c r="F127" t="s">
        <v>11</v>
      </c>
      <c r="G127">
        <v>4</v>
      </c>
      <c r="H127">
        <v>50</v>
      </c>
      <c r="I127">
        <v>200</v>
      </c>
    </row>
    <row r="128" spans="1:9" x14ac:dyDescent="0.3">
      <c r="A128">
        <v>433</v>
      </c>
      <c r="B128" s="1">
        <v>44984</v>
      </c>
      <c r="C128" t="s">
        <v>446</v>
      </c>
      <c r="D128" t="s">
        <v>10</v>
      </c>
      <c r="E128">
        <v>29</v>
      </c>
      <c r="F128" t="s">
        <v>11</v>
      </c>
      <c r="G128">
        <v>4</v>
      </c>
      <c r="H128">
        <v>50</v>
      </c>
      <c r="I128">
        <v>200</v>
      </c>
    </row>
    <row r="129" spans="1:9" x14ac:dyDescent="0.3">
      <c r="A129">
        <v>817</v>
      </c>
      <c r="B129" s="1">
        <v>45230</v>
      </c>
      <c r="C129" t="s">
        <v>830</v>
      </c>
      <c r="D129" t="s">
        <v>10</v>
      </c>
      <c r="E129">
        <v>30</v>
      </c>
      <c r="F129" t="s">
        <v>11</v>
      </c>
      <c r="G129">
        <v>4</v>
      </c>
      <c r="H129">
        <v>50</v>
      </c>
      <c r="I129">
        <v>200</v>
      </c>
    </row>
    <row r="130" spans="1:9" x14ac:dyDescent="0.3">
      <c r="A130">
        <v>785</v>
      </c>
      <c r="B130" s="1">
        <v>44988</v>
      </c>
      <c r="C130" t="s">
        <v>798</v>
      </c>
      <c r="D130" t="s">
        <v>13</v>
      </c>
      <c r="E130">
        <v>31</v>
      </c>
      <c r="F130" t="s">
        <v>11</v>
      </c>
      <c r="G130">
        <v>4</v>
      </c>
      <c r="H130">
        <v>50</v>
      </c>
      <c r="I130">
        <v>200</v>
      </c>
    </row>
    <row r="131" spans="1:9" x14ac:dyDescent="0.3">
      <c r="A131">
        <v>82</v>
      </c>
      <c r="B131" s="1">
        <v>45286</v>
      </c>
      <c r="C131" t="s">
        <v>95</v>
      </c>
      <c r="D131" t="s">
        <v>13</v>
      </c>
      <c r="E131">
        <v>32</v>
      </c>
      <c r="F131" t="s">
        <v>11</v>
      </c>
      <c r="G131">
        <v>4</v>
      </c>
      <c r="H131">
        <v>50</v>
      </c>
      <c r="I131">
        <v>200</v>
      </c>
    </row>
    <row r="132" spans="1:9" x14ac:dyDescent="0.3">
      <c r="A132">
        <v>38</v>
      </c>
      <c r="B132" s="1">
        <v>45006</v>
      </c>
      <c r="C132" t="s">
        <v>51</v>
      </c>
      <c r="D132" t="s">
        <v>10</v>
      </c>
      <c r="E132">
        <v>38</v>
      </c>
      <c r="F132" t="s">
        <v>11</v>
      </c>
      <c r="G132">
        <v>4</v>
      </c>
      <c r="H132">
        <v>50</v>
      </c>
      <c r="I132">
        <v>200</v>
      </c>
    </row>
    <row r="133" spans="1:9" x14ac:dyDescent="0.3">
      <c r="A133">
        <v>510</v>
      </c>
      <c r="B133" s="1">
        <v>45087</v>
      </c>
      <c r="C133" t="s">
        <v>523</v>
      </c>
      <c r="D133" t="s">
        <v>13</v>
      </c>
      <c r="E133">
        <v>39</v>
      </c>
      <c r="F133" t="s">
        <v>11</v>
      </c>
      <c r="G133">
        <v>4</v>
      </c>
      <c r="H133">
        <v>50</v>
      </c>
      <c r="I133">
        <v>200</v>
      </c>
    </row>
    <row r="134" spans="1:9" x14ac:dyDescent="0.3">
      <c r="A134">
        <v>494</v>
      </c>
      <c r="B134" s="1">
        <v>45187</v>
      </c>
      <c r="C134" t="s">
        <v>507</v>
      </c>
      <c r="D134" t="s">
        <v>13</v>
      </c>
      <c r="E134">
        <v>42</v>
      </c>
      <c r="F134" t="s">
        <v>11</v>
      </c>
      <c r="G134">
        <v>4</v>
      </c>
      <c r="H134">
        <v>50</v>
      </c>
      <c r="I134">
        <v>200</v>
      </c>
    </row>
    <row r="135" spans="1:9" x14ac:dyDescent="0.3">
      <c r="A135">
        <v>833</v>
      </c>
      <c r="B135" s="1">
        <v>45093</v>
      </c>
      <c r="C135" t="s">
        <v>846</v>
      </c>
      <c r="D135" t="s">
        <v>10</v>
      </c>
      <c r="E135">
        <v>42</v>
      </c>
      <c r="F135" t="s">
        <v>11</v>
      </c>
      <c r="G135">
        <v>4</v>
      </c>
      <c r="H135">
        <v>50</v>
      </c>
      <c r="I135">
        <v>200</v>
      </c>
    </row>
    <row r="136" spans="1:9" x14ac:dyDescent="0.3">
      <c r="A136">
        <v>354</v>
      </c>
      <c r="B136" s="1">
        <v>45031</v>
      </c>
      <c r="C136" t="s">
        <v>367</v>
      </c>
      <c r="D136" t="s">
        <v>13</v>
      </c>
      <c r="E136">
        <v>49</v>
      </c>
      <c r="F136" t="s">
        <v>11</v>
      </c>
      <c r="G136">
        <v>4</v>
      </c>
      <c r="H136">
        <v>50</v>
      </c>
      <c r="I136">
        <v>200</v>
      </c>
    </row>
    <row r="137" spans="1:9" x14ac:dyDescent="0.3">
      <c r="A137">
        <v>903</v>
      </c>
      <c r="B137" s="1">
        <v>45043</v>
      </c>
      <c r="C137" t="s">
        <v>916</v>
      </c>
      <c r="D137" t="s">
        <v>13</v>
      </c>
      <c r="E137">
        <v>51</v>
      </c>
      <c r="F137" t="s">
        <v>11</v>
      </c>
      <c r="G137">
        <v>4</v>
      </c>
      <c r="H137">
        <v>50</v>
      </c>
      <c r="I137">
        <v>200</v>
      </c>
    </row>
    <row r="138" spans="1:9" x14ac:dyDescent="0.3">
      <c r="A138">
        <v>961</v>
      </c>
      <c r="B138" s="1">
        <v>45083</v>
      </c>
      <c r="C138" t="s">
        <v>974</v>
      </c>
      <c r="D138" t="s">
        <v>10</v>
      </c>
      <c r="E138">
        <v>53</v>
      </c>
      <c r="F138" t="s">
        <v>11</v>
      </c>
      <c r="G138">
        <v>4</v>
      </c>
      <c r="H138">
        <v>50</v>
      </c>
      <c r="I138">
        <v>200</v>
      </c>
    </row>
    <row r="139" spans="1:9" x14ac:dyDescent="0.3">
      <c r="A139">
        <v>723</v>
      </c>
      <c r="B139" s="1">
        <v>45094</v>
      </c>
      <c r="C139" t="s">
        <v>736</v>
      </c>
      <c r="D139" t="s">
        <v>13</v>
      </c>
      <c r="E139">
        <v>54</v>
      </c>
      <c r="F139" t="s">
        <v>11</v>
      </c>
      <c r="G139">
        <v>4</v>
      </c>
      <c r="H139">
        <v>50</v>
      </c>
      <c r="I139">
        <v>200</v>
      </c>
    </row>
    <row r="140" spans="1:9" x14ac:dyDescent="0.3">
      <c r="A140">
        <v>251</v>
      </c>
      <c r="B140" s="1">
        <v>45169</v>
      </c>
      <c r="C140" t="s">
        <v>264</v>
      </c>
      <c r="D140" t="s">
        <v>13</v>
      </c>
      <c r="E140">
        <v>57</v>
      </c>
      <c r="F140" t="s">
        <v>11</v>
      </c>
      <c r="G140">
        <v>4</v>
      </c>
      <c r="H140">
        <v>50</v>
      </c>
      <c r="I140">
        <v>200</v>
      </c>
    </row>
    <row r="141" spans="1:9" x14ac:dyDescent="0.3">
      <c r="A141">
        <v>936</v>
      </c>
      <c r="B141" s="1">
        <v>44964</v>
      </c>
      <c r="C141" t="s">
        <v>949</v>
      </c>
      <c r="D141" t="s">
        <v>10</v>
      </c>
      <c r="E141">
        <v>57</v>
      </c>
      <c r="F141" t="s">
        <v>11</v>
      </c>
      <c r="G141">
        <v>4</v>
      </c>
      <c r="H141">
        <v>50</v>
      </c>
      <c r="I141">
        <v>200</v>
      </c>
    </row>
    <row r="142" spans="1:9" x14ac:dyDescent="0.3">
      <c r="A142">
        <v>75</v>
      </c>
      <c r="B142" s="1">
        <v>45113</v>
      </c>
      <c r="C142" t="s">
        <v>88</v>
      </c>
      <c r="D142" t="s">
        <v>10</v>
      </c>
      <c r="E142">
        <v>61</v>
      </c>
      <c r="F142" t="s">
        <v>11</v>
      </c>
      <c r="G142">
        <v>4</v>
      </c>
      <c r="H142">
        <v>50</v>
      </c>
      <c r="I142">
        <v>200</v>
      </c>
    </row>
    <row r="143" spans="1:9" x14ac:dyDescent="0.3">
      <c r="A143">
        <v>639</v>
      </c>
      <c r="B143" s="1">
        <v>45059</v>
      </c>
      <c r="C143" t="s">
        <v>652</v>
      </c>
      <c r="D143" t="s">
        <v>13</v>
      </c>
      <c r="E143">
        <v>62</v>
      </c>
      <c r="F143" t="s">
        <v>11</v>
      </c>
      <c r="G143">
        <v>4</v>
      </c>
      <c r="H143">
        <v>50</v>
      </c>
      <c r="I143">
        <v>200</v>
      </c>
    </row>
    <row r="144" spans="1:9" x14ac:dyDescent="0.3">
      <c r="A144">
        <v>910</v>
      </c>
      <c r="B144" s="1">
        <v>44991</v>
      </c>
      <c r="C144" t="s">
        <v>923</v>
      </c>
      <c r="D144" t="s">
        <v>13</v>
      </c>
      <c r="E144">
        <v>20</v>
      </c>
      <c r="F144" t="s">
        <v>11</v>
      </c>
      <c r="G144">
        <v>3</v>
      </c>
      <c r="H144">
        <v>50</v>
      </c>
      <c r="I144">
        <v>150</v>
      </c>
    </row>
    <row r="145" spans="1:9" x14ac:dyDescent="0.3">
      <c r="A145">
        <v>200</v>
      </c>
      <c r="B145" s="1">
        <v>45170</v>
      </c>
      <c r="C145" t="s">
        <v>213</v>
      </c>
      <c r="D145" t="s">
        <v>10</v>
      </c>
      <c r="E145">
        <v>27</v>
      </c>
      <c r="F145" t="s">
        <v>11</v>
      </c>
      <c r="G145">
        <v>3</v>
      </c>
      <c r="H145">
        <v>50</v>
      </c>
      <c r="I145">
        <v>150</v>
      </c>
    </row>
    <row r="146" spans="1:9" x14ac:dyDescent="0.3">
      <c r="A146">
        <v>60</v>
      </c>
      <c r="B146" s="1">
        <v>45222</v>
      </c>
      <c r="C146" t="s">
        <v>73</v>
      </c>
      <c r="D146" t="s">
        <v>10</v>
      </c>
      <c r="E146">
        <v>30</v>
      </c>
      <c r="F146" t="s">
        <v>11</v>
      </c>
      <c r="G146">
        <v>3</v>
      </c>
      <c r="H146">
        <v>50</v>
      </c>
      <c r="I146">
        <v>150</v>
      </c>
    </row>
    <row r="147" spans="1:9" x14ac:dyDescent="0.3">
      <c r="A147">
        <v>576</v>
      </c>
      <c r="B147" s="1">
        <v>45264</v>
      </c>
      <c r="C147" t="s">
        <v>589</v>
      </c>
      <c r="D147" t="s">
        <v>13</v>
      </c>
      <c r="E147">
        <v>33</v>
      </c>
      <c r="F147" t="s">
        <v>11</v>
      </c>
      <c r="G147">
        <v>3</v>
      </c>
      <c r="H147">
        <v>50</v>
      </c>
      <c r="I147">
        <v>150</v>
      </c>
    </row>
    <row r="148" spans="1:9" x14ac:dyDescent="0.3">
      <c r="A148">
        <v>1</v>
      </c>
      <c r="B148" s="1">
        <v>45254</v>
      </c>
      <c r="C148" t="s">
        <v>9</v>
      </c>
      <c r="D148" t="s">
        <v>10</v>
      </c>
      <c r="E148">
        <v>34</v>
      </c>
      <c r="F148" t="s">
        <v>11</v>
      </c>
      <c r="G148">
        <v>3</v>
      </c>
      <c r="H148">
        <v>50</v>
      </c>
      <c r="I148">
        <v>150</v>
      </c>
    </row>
    <row r="149" spans="1:9" x14ac:dyDescent="0.3">
      <c r="A149">
        <v>504</v>
      </c>
      <c r="B149" s="1">
        <v>45062</v>
      </c>
      <c r="C149" t="s">
        <v>517</v>
      </c>
      <c r="D149" t="s">
        <v>13</v>
      </c>
      <c r="E149">
        <v>38</v>
      </c>
      <c r="F149" t="s">
        <v>11</v>
      </c>
      <c r="G149">
        <v>3</v>
      </c>
      <c r="H149">
        <v>50</v>
      </c>
      <c r="I149">
        <v>150</v>
      </c>
    </row>
    <row r="150" spans="1:9" x14ac:dyDescent="0.3">
      <c r="A150">
        <v>554</v>
      </c>
      <c r="B150" s="1">
        <v>45242</v>
      </c>
      <c r="C150" t="s">
        <v>567</v>
      </c>
      <c r="D150" t="s">
        <v>13</v>
      </c>
      <c r="E150">
        <v>46</v>
      </c>
      <c r="F150" t="s">
        <v>11</v>
      </c>
      <c r="G150">
        <v>3</v>
      </c>
      <c r="H150">
        <v>50</v>
      </c>
      <c r="I150">
        <v>150</v>
      </c>
    </row>
    <row r="151" spans="1:9" x14ac:dyDescent="0.3">
      <c r="A151">
        <v>912</v>
      </c>
      <c r="B151" s="1">
        <v>44950</v>
      </c>
      <c r="C151" t="s">
        <v>925</v>
      </c>
      <c r="D151" t="s">
        <v>10</v>
      </c>
      <c r="E151">
        <v>51</v>
      </c>
      <c r="F151" t="s">
        <v>11</v>
      </c>
      <c r="G151">
        <v>3</v>
      </c>
      <c r="H151">
        <v>50</v>
      </c>
      <c r="I151">
        <v>150</v>
      </c>
    </row>
    <row r="152" spans="1:9" x14ac:dyDescent="0.3">
      <c r="A152">
        <v>336</v>
      </c>
      <c r="B152" s="1">
        <v>45272</v>
      </c>
      <c r="C152" t="s">
        <v>349</v>
      </c>
      <c r="D152" t="s">
        <v>13</v>
      </c>
      <c r="E152">
        <v>52</v>
      </c>
      <c r="F152" t="s">
        <v>11</v>
      </c>
      <c r="G152">
        <v>3</v>
      </c>
      <c r="H152">
        <v>50</v>
      </c>
      <c r="I152">
        <v>150</v>
      </c>
    </row>
    <row r="153" spans="1:9" x14ac:dyDescent="0.3">
      <c r="A153">
        <v>822</v>
      </c>
      <c r="B153" s="1">
        <v>45069</v>
      </c>
      <c r="C153" t="s">
        <v>835</v>
      </c>
      <c r="D153" t="s">
        <v>13</v>
      </c>
      <c r="E153">
        <v>52</v>
      </c>
      <c r="F153" t="s">
        <v>11</v>
      </c>
      <c r="G153">
        <v>3</v>
      </c>
      <c r="H153">
        <v>50</v>
      </c>
      <c r="I153">
        <v>150</v>
      </c>
    </row>
    <row r="154" spans="1:9" x14ac:dyDescent="0.3">
      <c r="A154">
        <v>931</v>
      </c>
      <c r="B154" s="1">
        <v>45171</v>
      </c>
      <c r="C154" t="s">
        <v>944</v>
      </c>
      <c r="D154" t="s">
        <v>10</v>
      </c>
      <c r="E154">
        <v>30</v>
      </c>
      <c r="F154" t="s">
        <v>11</v>
      </c>
      <c r="G154">
        <v>4</v>
      </c>
      <c r="H154">
        <v>30</v>
      </c>
      <c r="I154">
        <v>120</v>
      </c>
    </row>
    <row r="155" spans="1:9" x14ac:dyDescent="0.3">
      <c r="A155">
        <v>55</v>
      </c>
      <c r="B155" s="1">
        <v>45209</v>
      </c>
      <c r="C155" t="s">
        <v>68</v>
      </c>
      <c r="D155" t="s">
        <v>10</v>
      </c>
      <c r="E155">
        <v>31</v>
      </c>
      <c r="F155" t="s">
        <v>11</v>
      </c>
      <c r="G155">
        <v>4</v>
      </c>
      <c r="H155">
        <v>30</v>
      </c>
      <c r="I155">
        <v>120</v>
      </c>
    </row>
    <row r="156" spans="1:9" x14ac:dyDescent="0.3">
      <c r="A156">
        <v>262</v>
      </c>
      <c r="B156" s="1">
        <v>45137</v>
      </c>
      <c r="C156" t="s">
        <v>275</v>
      </c>
      <c r="D156" t="s">
        <v>13</v>
      </c>
      <c r="E156">
        <v>32</v>
      </c>
      <c r="F156" t="s">
        <v>11</v>
      </c>
      <c r="G156">
        <v>4</v>
      </c>
      <c r="H156">
        <v>30</v>
      </c>
      <c r="I156">
        <v>120</v>
      </c>
    </row>
    <row r="157" spans="1:9" x14ac:dyDescent="0.3">
      <c r="A157">
        <v>598</v>
      </c>
      <c r="B157" s="1">
        <v>45139</v>
      </c>
      <c r="C157" t="s">
        <v>611</v>
      </c>
      <c r="D157" t="s">
        <v>10</v>
      </c>
      <c r="E157">
        <v>37</v>
      </c>
      <c r="F157" t="s">
        <v>11</v>
      </c>
      <c r="G157">
        <v>4</v>
      </c>
      <c r="H157">
        <v>30</v>
      </c>
      <c r="I157">
        <v>120</v>
      </c>
    </row>
    <row r="158" spans="1:9" x14ac:dyDescent="0.3">
      <c r="A158">
        <v>633</v>
      </c>
      <c r="B158" s="1">
        <v>45145</v>
      </c>
      <c r="C158" t="s">
        <v>646</v>
      </c>
      <c r="D158" t="s">
        <v>10</v>
      </c>
      <c r="E158">
        <v>39</v>
      </c>
      <c r="F158" t="s">
        <v>11</v>
      </c>
      <c r="G158">
        <v>4</v>
      </c>
      <c r="H158">
        <v>30</v>
      </c>
      <c r="I158">
        <v>120</v>
      </c>
    </row>
    <row r="159" spans="1:9" x14ac:dyDescent="0.3">
      <c r="A159">
        <v>796</v>
      </c>
      <c r="B159" s="1">
        <v>45101</v>
      </c>
      <c r="C159" t="s">
        <v>809</v>
      </c>
      <c r="D159" t="s">
        <v>10</v>
      </c>
      <c r="E159">
        <v>43</v>
      </c>
      <c r="F159" t="s">
        <v>11</v>
      </c>
      <c r="G159">
        <v>4</v>
      </c>
      <c r="H159">
        <v>30</v>
      </c>
      <c r="I159">
        <v>120</v>
      </c>
    </row>
    <row r="160" spans="1:9" x14ac:dyDescent="0.3">
      <c r="A160">
        <v>335</v>
      </c>
      <c r="B160" s="1">
        <v>44961</v>
      </c>
      <c r="C160" t="s">
        <v>348</v>
      </c>
      <c r="D160" t="s">
        <v>13</v>
      </c>
      <c r="E160">
        <v>47</v>
      </c>
      <c r="F160" t="s">
        <v>11</v>
      </c>
      <c r="G160">
        <v>4</v>
      </c>
      <c r="H160">
        <v>30</v>
      </c>
      <c r="I160">
        <v>120</v>
      </c>
    </row>
    <row r="161" spans="1:9" x14ac:dyDescent="0.3">
      <c r="A161">
        <v>536</v>
      </c>
      <c r="B161" s="1">
        <v>44990</v>
      </c>
      <c r="C161" t="s">
        <v>549</v>
      </c>
      <c r="D161" t="s">
        <v>13</v>
      </c>
      <c r="E161">
        <v>55</v>
      </c>
      <c r="F161" t="s">
        <v>11</v>
      </c>
      <c r="G161">
        <v>4</v>
      </c>
      <c r="H161">
        <v>30</v>
      </c>
      <c r="I161">
        <v>120</v>
      </c>
    </row>
    <row r="162" spans="1:9" x14ac:dyDescent="0.3">
      <c r="A162">
        <v>182</v>
      </c>
      <c r="B162" s="1">
        <v>45092</v>
      </c>
      <c r="C162" t="s">
        <v>195</v>
      </c>
      <c r="D162" t="s">
        <v>10</v>
      </c>
      <c r="E162">
        <v>62</v>
      </c>
      <c r="F162" t="s">
        <v>11</v>
      </c>
      <c r="G162">
        <v>4</v>
      </c>
      <c r="H162">
        <v>30</v>
      </c>
      <c r="I162">
        <v>120</v>
      </c>
    </row>
    <row r="163" spans="1:9" x14ac:dyDescent="0.3">
      <c r="A163">
        <v>271</v>
      </c>
      <c r="B163" s="1">
        <v>45100</v>
      </c>
      <c r="C163" t="s">
        <v>284</v>
      </c>
      <c r="D163" t="s">
        <v>13</v>
      </c>
      <c r="E163">
        <v>62</v>
      </c>
      <c r="F163" t="s">
        <v>11</v>
      </c>
      <c r="G163">
        <v>4</v>
      </c>
      <c r="H163">
        <v>30</v>
      </c>
      <c r="I163">
        <v>120</v>
      </c>
    </row>
    <row r="164" spans="1:9" x14ac:dyDescent="0.3">
      <c r="A164">
        <v>62</v>
      </c>
      <c r="B164" s="1">
        <v>45287</v>
      </c>
      <c r="C164" t="s">
        <v>75</v>
      </c>
      <c r="D164" t="s">
        <v>10</v>
      </c>
      <c r="E164">
        <v>18</v>
      </c>
      <c r="F164" t="s">
        <v>11</v>
      </c>
      <c r="G164">
        <v>2</v>
      </c>
      <c r="H164">
        <v>50</v>
      </c>
      <c r="I164">
        <v>100</v>
      </c>
    </row>
    <row r="165" spans="1:9" x14ac:dyDescent="0.3">
      <c r="A165">
        <v>276</v>
      </c>
      <c r="B165" s="1">
        <v>45201</v>
      </c>
      <c r="C165" t="s">
        <v>289</v>
      </c>
      <c r="D165" t="s">
        <v>13</v>
      </c>
      <c r="E165">
        <v>21</v>
      </c>
      <c r="F165" t="s">
        <v>11</v>
      </c>
      <c r="G165">
        <v>4</v>
      </c>
      <c r="H165">
        <v>25</v>
      </c>
      <c r="I165">
        <v>100</v>
      </c>
    </row>
    <row r="166" spans="1:9" x14ac:dyDescent="0.3">
      <c r="A166">
        <v>114</v>
      </c>
      <c r="B166" s="1">
        <v>45129</v>
      </c>
      <c r="C166" t="s">
        <v>127</v>
      </c>
      <c r="D166" t="s">
        <v>13</v>
      </c>
      <c r="E166">
        <v>22</v>
      </c>
      <c r="F166" t="s">
        <v>11</v>
      </c>
      <c r="G166">
        <v>4</v>
      </c>
      <c r="H166">
        <v>25</v>
      </c>
      <c r="I166">
        <v>100</v>
      </c>
    </row>
    <row r="167" spans="1:9" x14ac:dyDescent="0.3">
      <c r="A167">
        <v>406</v>
      </c>
      <c r="B167" s="1">
        <v>45034</v>
      </c>
      <c r="C167" t="s">
        <v>419</v>
      </c>
      <c r="D167" t="s">
        <v>13</v>
      </c>
      <c r="E167">
        <v>22</v>
      </c>
      <c r="F167" t="s">
        <v>11</v>
      </c>
      <c r="G167">
        <v>4</v>
      </c>
      <c r="H167">
        <v>25</v>
      </c>
      <c r="I167">
        <v>100</v>
      </c>
    </row>
    <row r="168" spans="1:9" x14ac:dyDescent="0.3">
      <c r="A168">
        <v>998</v>
      </c>
      <c r="B168" s="1">
        <v>45228</v>
      </c>
      <c r="C168" t="s">
        <v>1011</v>
      </c>
      <c r="D168" t="s">
        <v>13</v>
      </c>
      <c r="E168">
        <v>23</v>
      </c>
      <c r="F168" t="s">
        <v>11</v>
      </c>
      <c r="G168">
        <v>4</v>
      </c>
      <c r="H168">
        <v>25</v>
      </c>
      <c r="I168">
        <v>100</v>
      </c>
    </row>
    <row r="169" spans="1:9" x14ac:dyDescent="0.3">
      <c r="A169">
        <v>87</v>
      </c>
      <c r="B169" s="1">
        <v>45252</v>
      </c>
      <c r="C169" t="s">
        <v>100</v>
      </c>
      <c r="D169" t="s">
        <v>13</v>
      </c>
      <c r="E169">
        <v>28</v>
      </c>
      <c r="F169" t="s">
        <v>11</v>
      </c>
      <c r="G169">
        <v>2</v>
      </c>
      <c r="H169">
        <v>50</v>
      </c>
      <c r="I169">
        <v>100</v>
      </c>
    </row>
    <row r="170" spans="1:9" x14ac:dyDescent="0.3">
      <c r="A170">
        <v>244</v>
      </c>
      <c r="B170" s="1">
        <v>45269</v>
      </c>
      <c r="C170" t="s">
        <v>257</v>
      </c>
      <c r="D170" t="s">
        <v>10</v>
      </c>
      <c r="E170">
        <v>28</v>
      </c>
      <c r="F170" t="s">
        <v>11</v>
      </c>
      <c r="G170">
        <v>2</v>
      </c>
      <c r="H170">
        <v>50</v>
      </c>
      <c r="I170">
        <v>100</v>
      </c>
    </row>
    <row r="171" spans="1:9" x14ac:dyDescent="0.3">
      <c r="A171">
        <v>599</v>
      </c>
      <c r="B171" s="1">
        <v>45249</v>
      </c>
      <c r="C171" t="s">
        <v>612</v>
      </c>
      <c r="D171" t="s">
        <v>13</v>
      </c>
      <c r="E171">
        <v>28</v>
      </c>
      <c r="F171" t="s">
        <v>11</v>
      </c>
      <c r="G171">
        <v>2</v>
      </c>
      <c r="H171">
        <v>50</v>
      </c>
      <c r="I171">
        <v>100</v>
      </c>
    </row>
    <row r="172" spans="1:9" x14ac:dyDescent="0.3">
      <c r="A172">
        <v>5</v>
      </c>
      <c r="B172" s="1">
        <v>45052</v>
      </c>
      <c r="C172" t="s">
        <v>18</v>
      </c>
      <c r="D172" t="s">
        <v>10</v>
      </c>
      <c r="E172">
        <v>30</v>
      </c>
      <c r="F172" t="s">
        <v>11</v>
      </c>
      <c r="G172">
        <v>2</v>
      </c>
      <c r="H172">
        <v>50</v>
      </c>
      <c r="I172">
        <v>100</v>
      </c>
    </row>
    <row r="173" spans="1:9" x14ac:dyDescent="0.3">
      <c r="A173">
        <v>516</v>
      </c>
      <c r="B173" s="1">
        <v>45222</v>
      </c>
      <c r="C173" t="s">
        <v>529</v>
      </c>
      <c r="D173" t="s">
        <v>10</v>
      </c>
      <c r="E173">
        <v>30</v>
      </c>
      <c r="F173" t="s">
        <v>11</v>
      </c>
      <c r="G173">
        <v>4</v>
      </c>
      <c r="H173">
        <v>25</v>
      </c>
      <c r="I173">
        <v>100</v>
      </c>
    </row>
    <row r="174" spans="1:9" x14ac:dyDescent="0.3">
      <c r="A174">
        <v>311</v>
      </c>
      <c r="B174" s="1">
        <v>45265</v>
      </c>
      <c r="C174" t="s">
        <v>324</v>
      </c>
      <c r="D174" t="s">
        <v>13</v>
      </c>
      <c r="E174">
        <v>32</v>
      </c>
      <c r="F174" t="s">
        <v>11</v>
      </c>
      <c r="G174">
        <v>4</v>
      </c>
      <c r="H174">
        <v>25</v>
      </c>
      <c r="I174">
        <v>100</v>
      </c>
    </row>
    <row r="175" spans="1:9" x14ac:dyDescent="0.3">
      <c r="A175">
        <v>951</v>
      </c>
      <c r="B175" s="1">
        <v>45232</v>
      </c>
      <c r="C175" t="s">
        <v>964</v>
      </c>
      <c r="D175" t="s">
        <v>10</v>
      </c>
      <c r="E175">
        <v>33</v>
      </c>
      <c r="F175" t="s">
        <v>11</v>
      </c>
      <c r="G175">
        <v>2</v>
      </c>
      <c r="H175">
        <v>50</v>
      </c>
      <c r="I175">
        <v>100</v>
      </c>
    </row>
    <row r="176" spans="1:9" x14ac:dyDescent="0.3">
      <c r="A176">
        <v>652</v>
      </c>
      <c r="B176" s="1">
        <v>45047</v>
      </c>
      <c r="C176" t="s">
        <v>665</v>
      </c>
      <c r="D176" t="s">
        <v>13</v>
      </c>
      <c r="E176">
        <v>34</v>
      </c>
      <c r="F176" t="s">
        <v>11</v>
      </c>
      <c r="G176">
        <v>2</v>
      </c>
      <c r="H176">
        <v>50</v>
      </c>
      <c r="I176">
        <v>100</v>
      </c>
    </row>
    <row r="177" spans="1:9" x14ac:dyDescent="0.3">
      <c r="A177">
        <v>672</v>
      </c>
      <c r="B177" s="1">
        <v>45139</v>
      </c>
      <c r="C177" t="s">
        <v>685</v>
      </c>
      <c r="D177" t="s">
        <v>13</v>
      </c>
      <c r="E177">
        <v>34</v>
      </c>
      <c r="F177" t="s">
        <v>11</v>
      </c>
      <c r="G177">
        <v>2</v>
      </c>
      <c r="H177">
        <v>50</v>
      </c>
      <c r="I177">
        <v>100</v>
      </c>
    </row>
    <row r="178" spans="1:9" x14ac:dyDescent="0.3">
      <c r="A178">
        <v>819</v>
      </c>
      <c r="B178" s="1">
        <v>45092</v>
      </c>
      <c r="C178" t="s">
        <v>832</v>
      </c>
      <c r="D178" t="s">
        <v>13</v>
      </c>
      <c r="E178">
        <v>35</v>
      </c>
      <c r="F178" t="s">
        <v>11</v>
      </c>
      <c r="G178">
        <v>2</v>
      </c>
      <c r="H178">
        <v>50</v>
      </c>
      <c r="I178">
        <v>100</v>
      </c>
    </row>
    <row r="179" spans="1:9" x14ac:dyDescent="0.3">
      <c r="A179">
        <v>328</v>
      </c>
      <c r="B179" s="1">
        <v>45007</v>
      </c>
      <c r="C179" t="s">
        <v>341</v>
      </c>
      <c r="D179" t="s">
        <v>10</v>
      </c>
      <c r="E179">
        <v>39</v>
      </c>
      <c r="F179" t="s">
        <v>11</v>
      </c>
      <c r="G179">
        <v>2</v>
      </c>
      <c r="H179">
        <v>50</v>
      </c>
      <c r="I179">
        <v>100</v>
      </c>
    </row>
    <row r="180" spans="1:9" x14ac:dyDescent="0.3">
      <c r="A180">
        <v>715</v>
      </c>
      <c r="B180" s="1">
        <v>45256</v>
      </c>
      <c r="C180" t="s">
        <v>728</v>
      </c>
      <c r="D180" t="s">
        <v>13</v>
      </c>
      <c r="E180">
        <v>42</v>
      </c>
      <c r="F180" t="s">
        <v>11</v>
      </c>
      <c r="G180">
        <v>4</v>
      </c>
      <c r="H180">
        <v>25</v>
      </c>
      <c r="I180">
        <v>100</v>
      </c>
    </row>
    <row r="181" spans="1:9" x14ac:dyDescent="0.3">
      <c r="A181">
        <v>176</v>
      </c>
      <c r="B181" s="1">
        <v>45118</v>
      </c>
      <c r="C181" t="s">
        <v>189</v>
      </c>
      <c r="D181" t="s">
        <v>13</v>
      </c>
      <c r="E181">
        <v>43</v>
      </c>
      <c r="F181" t="s">
        <v>11</v>
      </c>
      <c r="G181">
        <v>2</v>
      </c>
      <c r="H181">
        <v>50</v>
      </c>
      <c r="I181">
        <v>100</v>
      </c>
    </row>
    <row r="182" spans="1:9" x14ac:dyDescent="0.3">
      <c r="A182">
        <v>177</v>
      </c>
      <c r="B182" s="1">
        <v>45009</v>
      </c>
      <c r="C182" t="s">
        <v>190</v>
      </c>
      <c r="D182" t="s">
        <v>10</v>
      </c>
      <c r="E182">
        <v>45</v>
      </c>
      <c r="F182" t="s">
        <v>11</v>
      </c>
      <c r="G182">
        <v>2</v>
      </c>
      <c r="H182">
        <v>50</v>
      </c>
      <c r="I182">
        <v>100</v>
      </c>
    </row>
    <row r="183" spans="1:9" x14ac:dyDescent="0.3">
      <c r="A183">
        <v>511</v>
      </c>
      <c r="B183" s="1">
        <v>45150</v>
      </c>
      <c r="C183" t="s">
        <v>524</v>
      </c>
      <c r="D183" t="s">
        <v>10</v>
      </c>
      <c r="E183">
        <v>45</v>
      </c>
      <c r="F183" t="s">
        <v>11</v>
      </c>
      <c r="G183">
        <v>2</v>
      </c>
      <c r="H183">
        <v>50</v>
      </c>
      <c r="I183">
        <v>100</v>
      </c>
    </row>
    <row r="184" spans="1:9" x14ac:dyDescent="0.3">
      <c r="A184">
        <v>932</v>
      </c>
      <c r="B184" s="1">
        <v>44985</v>
      </c>
      <c r="C184" t="s">
        <v>945</v>
      </c>
      <c r="D184" t="s">
        <v>13</v>
      </c>
      <c r="E184">
        <v>45</v>
      </c>
      <c r="F184" t="s">
        <v>11</v>
      </c>
      <c r="G184">
        <v>4</v>
      </c>
      <c r="H184">
        <v>25</v>
      </c>
      <c r="I184">
        <v>100</v>
      </c>
    </row>
    <row r="185" spans="1:9" x14ac:dyDescent="0.3">
      <c r="A185">
        <v>778</v>
      </c>
      <c r="B185" s="1">
        <v>45248</v>
      </c>
      <c r="C185" t="s">
        <v>791</v>
      </c>
      <c r="D185" t="s">
        <v>13</v>
      </c>
      <c r="E185">
        <v>47</v>
      </c>
      <c r="F185" t="s">
        <v>11</v>
      </c>
      <c r="G185">
        <v>4</v>
      </c>
      <c r="H185">
        <v>25</v>
      </c>
      <c r="I185">
        <v>100</v>
      </c>
    </row>
    <row r="186" spans="1:9" x14ac:dyDescent="0.3">
      <c r="A186">
        <v>414</v>
      </c>
      <c r="B186" s="1">
        <v>45055</v>
      </c>
      <c r="C186" t="s">
        <v>427</v>
      </c>
      <c r="D186" t="s">
        <v>10</v>
      </c>
      <c r="E186">
        <v>48</v>
      </c>
      <c r="F186" t="s">
        <v>11</v>
      </c>
      <c r="G186">
        <v>4</v>
      </c>
      <c r="H186">
        <v>25</v>
      </c>
      <c r="I186">
        <v>100</v>
      </c>
    </row>
    <row r="187" spans="1:9" x14ac:dyDescent="0.3">
      <c r="A187">
        <v>972</v>
      </c>
      <c r="B187" s="1">
        <v>44968</v>
      </c>
      <c r="C187" t="s">
        <v>985</v>
      </c>
      <c r="D187" t="s">
        <v>10</v>
      </c>
      <c r="E187">
        <v>49</v>
      </c>
      <c r="F187" t="s">
        <v>11</v>
      </c>
      <c r="G187">
        <v>4</v>
      </c>
      <c r="H187">
        <v>25</v>
      </c>
      <c r="I187">
        <v>100</v>
      </c>
    </row>
    <row r="188" spans="1:9" x14ac:dyDescent="0.3">
      <c r="A188">
        <v>549</v>
      </c>
      <c r="B188" s="1">
        <v>45142</v>
      </c>
      <c r="C188" t="s">
        <v>562</v>
      </c>
      <c r="D188" t="s">
        <v>13</v>
      </c>
      <c r="E188">
        <v>50</v>
      </c>
      <c r="F188" t="s">
        <v>11</v>
      </c>
      <c r="G188">
        <v>2</v>
      </c>
      <c r="H188">
        <v>50</v>
      </c>
      <c r="I188">
        <v>100</v>
      </c>
    </row>
    <row r="189" spans="1:9" x14ac:dyDescent="0.3">
      <c r="A189">
        <v>71</v>
      </c>
      <c r="B189" s="1">
        <v>45121</v>
      </c>
      <c r="C189" t="s">
        <v>84</v>
      </c>
      <c r="D189" t="s">
        <v>13</v>
      </c>
      <c r="E189">
        <v>51</v>
      </c>
      <c r="F189" t="s">
        <v>11</v>
      </c>
      <c r="G189">
        <v>4</v>
      </c>
      <c r="H189">
        <v>25</v>
      </c>
      <c r="I189">
        <v>100</v>
      </c>
    </row>
    <row r="190" spans="1:9" x14ac:dyDescent="0.3">
      <c r="A190">
        <v>338</v>
      </c>
      <c r="B190" s="1">
        <v>45133</v>
      </c>
      <c r="C190" t="s">
        <v>351</v>
      </c>
      <c r="D190" t="s">
        <v>10</v>
      </c>
      <c r="E190">
        <v>54</v>
      </c>
      <c r="F190" t="s">
        <v>11</v>
      </c>
      <c r="G190">
        <v>2</v>
      </c>
      <c r="H190">
        <v>50</v>
      </c>
      <c r="I190">
        <v>100</v>
      </c>
    </row>
    <row r="191" spans="1:9" x14ac:dyDescent="0.3">
      <c r="A191">
        <v>745</v>
      </c>
      <c r="B191" s="1">
        <v>45029</v>
      </c>
      <c r="C191" t="s">
        <v>758</v>
      </c>
      <c r="D191" t="s">
        <v>10</v>
      </c>
      <c r="E191">
        <v>54</v>
      </c>
      <c r="F191" t="s">
        <v>11</v>
      </c>
      <c r="G191">
        <v>2</v>
      </c>
      <c r="H191">
        <v>50</v>
      </c>
      <c r="I191">
        <v>100</v>
      </c>
    </row>
    <row r="192" spans="1:9" x14ac:dyDescent="0.3">
      <c r="A192">
        <v>98</v>
      </c>
      <c r="B192" s="1">
        <v>45039</v>
      </c>
      <c r="C192" t="s">
        <v>111</v>
      </c>
      <c r="D192" t="s">
        <v>13</v>
      </c>
      <c r="E192">
        <v>55</v>
      </c>
      <c r="F192" t="s">
        <v>11</v>
      </c>
      <c r="G192">
        <v>2</v>
      </c>
      <c r="H192">
        <v>50</v>
      </c>
      <c r="I192">
        <v>100</v>
      </c>
    </row>
    <row r="193" spans="1:9" x14ac:dyDescent="0.3">
      <c r="A193">
        <v>924</v>
      </c>
      <c r="B193" s="1">
        <v>45167</v>
      </c>
      <c r="C193" t="s">
        <v>937</v>
      </c>
      <c r="D193" t="s">
        <v>10</v>
      </c>
      <c r="E193">
        <v>55</v>
      </c>
      <c r="F193" t="s">
        <v>11</v>
      </c>
      <c r="G193">
        <v>2</v>
      </c>
      <c r="H193">
        <v>50</v>
      </c>
      <c r="I193">
        <v>100</v>
      </c>
    </row>
    <row r="194" spans="1:9" x14ac:dyDescent="0.3">
      <c r="A194">
        <v>225</v>
      </c>
      <c r="B194" s="1">
        <v>44937</v>
      </c>
      <c r="C194" t="s">
        <v>238</v>
      </c>
      <c r="D194" t="s">
        <v>13</v>
      </c>
      <c r="E194">
        <v>57</v>
      </c>
      <c r="F194" t="s">
        <v>11</v>
      </c>
      <c r="G194">
        <v>4</v>
      </c>
      <c r="H194">
        <v>25</v>
      </c>
      <c r="I194">
        <v>100</v>
      </c>
    </row>
    <row r="195" spans="1:9" x14ac:dyDescent="0.3">
      <c r="A195">
        <v>500</v>
      </c>
      <c r="B195" s="1">
        <v>44986</v>
      </c>
      <c r="C195" t="s">
        <v>513</v>
      </c>
      <c r="D195" t="s">
        <v>13</v>
      </c>
      <c r="E195">
        <v>60</v>
      </c>
      <c r="F195" t="s">
        <v>11</v>
      </c>
      <c r="G195">
        <v>4</v>
      </c>
      <c r="H195">
        <v>25</v>
      </c>
      <c r="I195">
        <v>100</v>
      </c>
    </row>
    <row r="196" spans="1:9" x14ac:dyDescent="0.3">
      <c r="A196">
        <v>492</v>
      </c>
      <c r="B196" s="1">
        <v>45106</v>
      </c>
      <c r="C196" t="s">
        <v>505</v>
      </c>
      <c r="D196" t="s">
        <v>10</v>
      </c>
      <c r="E196">
        <v>61</v>
      </c>
      <c r="F196" t="s">
        <v>11</v>
      </c>
      <c r="G196">
        <v>4</v>
      </c>
      <c r="H196">
        <v>25</v>
      </c>
      <c r="I196">
        <v>100</v>
      </c>
    </row>
    <row r="197" spans="1:9" x14ac:dyDescent="0.3">
      <c r="A197">
        <v>192</v>
      </c>
      <c r="B197" s="1">
        <v>44967</v>
      </c>
      <c r="C197" t="s">
        <v>205</v>
      </c>
      <c r="D197" t="s">
        <v>10</v>
      </c>
      <c r="E197">
        <v>62</v>
      </c>
      <c r="F197" t="s">
        <v>11</v>
      </c>
      <c r="G197">
        <v>2</v>
      </c>
      <c r="H197">
        <v>50</v>
      </c>
      <c r="I197">
        <v>100</v>
      </c>
    </row>
    <row r="198" spans="1:9" x14ac:dyDescent="0.3">
      <c r="A198">
        <v>809</v>
      </c>
      <c r="B198" s="1">
        <v>45194</v>
      </c>
      <c r="C198" t="s">
        <v>822</v>
      </c>
      <c r="D198" t="s">
        <v>13</v>
      </c>
      <c r="E198">
        <v>62</v>
      </c>
      <c r="F198" t="s">
        <v>11</v>
      </c>
      <c r="G198">
        <v>2</v>
      </c>
      <c r="H198">
        <v>50</v>
      </c>
      <c r="I198">
        <v>100</v>
      </c>
    </row>
    <row r="199" spans="1:9" x14ac:dyDescent="0.3">
      <c r="A199">
        <v>679</v>
      </c>
      <c r="B199" s="1">
        <v>44937</v>
      </c>
      <c r="C199" t="s">
        <v>692</v>
      </c>
      <c r="D199" t="s">
        <v>13</v>
      </c>
      <c r="E199">
        <v>18</v>
      </c>
      <c r="F199" t="s">
        <v>11</v>
      </c>
      <c r="G199">
        <v>3</v>
      </c>
      <c r="H199">
        <v>30</v>
      </c>
      <c r="I199">
        <v>90</v>
      </c>
    </row>
    <row r="200" spans="1:9" x14ac:dyDescent="0.3">
      <c r="A200">
        <v>837</v>
      </c>
      <c r="B200" s="1">
        <v>45108</v>
      </c>
      <c r="C200" t="s">
        <v>850</v>
      </c>
      <c r="D200" t="s">
        <v>10</v>
      </c>
      <c r="E200">
        <v>18</v>
      </c>
      <c r="F200" t="s">
        <v>11</v>
      </c>
      <c r="G200">
        <v>3</v>
      </c>
      <c r="H200">
        <v>30</v>
      </c>
      <c r="I200">
        <v>90</v>
      </c>
    </row>
    <row r="201" spans="1:9" x14ac:dyDescent="0.3">
      <c r="A201">
        <v>86</v>
      </c>
      <c r="B201" s="1">
        <v>45238</v>
      </c>
      <c r="C201" t="s">
        <v>99</v>
      </c>
      <c r="D201" t="s">
        <v>10</v>
      </c>
      <c r="E201">
        <v>19</v>
      </c>
      <c r="F201" t="s">
        <v>11</v>
      </c>
      <c r="G201">
        <v>3</v>
      </c>
      <c r="H201">
        <v>30</v>
      </c>
      <c r="I201">
        <v>90</v>
      </c>
    </row>
    <row r="202" spans="1:9" x14ac:dyDescent="0.3">
      <c r="A202">
        <v>557</v>
      </c>
      <c r="B202" s="1">
        <v>45134</v>
      </c>
      <c r="C202" t="s">
        <v>570</v>
      </c>
      <c r="D202" t="s">
        <v>13</v>
      </c>
      <c r="E202">
        <v>20</v>
      </c>
      <c r="F202" t="s">
        <v>11</v>
      </c>
      <c r="G202">
        <v>3</v>
      </c>
      <c r="H202">
        <v>30</v>
      </c>
      <c r="I202">
        <v>90</v>
      </c>
    </row>
    <row r="203" spans="1:9" x14ac:dyDescent="0.3">
      <c r="A203">
        <v>915</v>
      </c>
      <c r="B203" s="1">
        <v>45076</v>
      </c>
      <c r="C203" t="s">
        <v>928</v>
      </c>
      <c r="D203" t="s">
        <v>13</v>
      </c>
      <c r="E203">
        <v>26</v>
      </c>
      <c r="F203" t="s">
        <v>11</v>
      </c>
      <c r="G203">
        <v>3</v>
      </c>
      <c r="H203">
        <v>30</v>
      </c>
      <c r="I203">
        <v>90</v>
      </c>
    </row>
    <row r="204" spans="1:9" x14ac:dyDescent="0.3">
      <c r="A204">
        <v>656</v>
      </c>
      <c r="B204" s="1">
        <v>45203</v>
      </c>
      <c r="C204" t="s">
        <v>669</v>
      </c>
      <c r="D204" t="s">
        <v>10</v>
      </c>
      <c r="E204">
        <v>29</v>
      </c>
      <c r="F204" t="s">
        <v>11</v>
      </c>
      <c r="G204">
        <v>3</v>
      </c>
      <c r="H204">
        <v>30</v>
      </c>
      <c r="I204">
        <v>90</v>
      </c>
    </row>
    <row r="205" spans="1:9" x14ac:dyDescent="0.3">
      <c r="A205">
        <v>32</v>
      </c>
      <c r="B205" s="1">
        <v>44930</v>
      </c>
      <c r="C205" t="s">
        <v>45</v>
      </c>
      <c r="D205" t="s">
        <v>10</v>
      </c>
      <c r="E205">
        <v>30</v>
      </c>
      <c r="F205" t="s">
        <v>11</v>
      </c>
      <c r="G205">
        <v>3</v>
      </c>
      <c r="H205">
        <v>30</v>
      </c>
      <c r="I205">
        <v>90</v>
      </c>
    </row>
    <row r="206" spans="1:9" x14ac:dyDescent="0.3">
      <c r="A206">
        <v>267</v>
      </c>
      <c r="B206" s="1">
        <v>45257</v>
      </c>
      <c r="C206" t="s">
        <v>280</v>
      </c>
      <c r="D206" t="s">
        <v>13</v>
      </c>
      <c r="E206">
        <v>32</v>
      </c>
      <c r="F206" t="s">
        <v>11</v>
      </c>
      <c r="G206">
        <v>3</v>
      </c>
      <c r="H206">
        <v>30</v>
      </c>
      <c r="I206">
        <v>90</v>
      </c>
    </row>
    <row r="207" spans="1:9" x14ac:dyDescent="0.3">
      <c r="A207">
        <v>953</v>
      </c>
      <c r="B207" s="1">
        <v>45042</v>
      </c>
      <c r="C207" t="s">
        <v>966</v>
      </c>
      <c r="D207" t="s">
        <v>10</v>
      </c>
      <c r="E207">
        <v>45</v>
      </c>
      <c r="F207" t="s">
        <v>11</v>
      </c>
      <c r="G207">
        <v>3</v>
      </c>
      <c r="H207">
        <v>30</v>
      </c>
      <c r="I207">
        <v>90</v>
      </c>
    </row>
    <row r="208" spans="1:9" x14ac:dyDescent="0.3">
      <c r="A208">
        <v>383</v>
      </c>
      <c r="B208" s="1">
        <v>45007</v>
      </c>
      <c r="C208" t="s">
        <v>396</v>
      </c>
      <c r="D208" t="s">
        <v>13</v>
      </c>
      <c r="E208">
        <v>46</v>
      </c>
      <c r="F208" t="s">
        <v>11</v>
      </c>
      <c r="G208">
        <v>3</v>
      </c>
      <c r="H208">
        <v>30</v>
      </c>
      <c r="I208">
        <v>90</v>
      </c>
    </row>
    <row r="209" spans="1:9" x14ac:dyDescent="0.3">
      <c r="A209">
        <v>982</v>
      </c>
      <c r="B209" s="1">
        <v>45279</v>
      </c>
      <c r="C209" t="s">
        <v>995</v>
      </c>
      <c r="D209" t="s">
        <v>13</v>
      </c>
      <c r="E209">
        <v>46</v>
      </c>
      <c r="F209" t="s">
        <v>11</v>
      </c>
      <c r="G209">
        <v>3</v>
      </c>
      <c r="H209">
        <v>30</v>
      </c>
      <c r="I209">
        <v>90</v>
      </c>
    </row>
    <row r="210" spans="1:9" x14ac:dyDescent="0.3">
      <c r="A210">
        <v>535</v>
      </c>
      <c r="B210" s="1">
        <v>45266</v>
      </c>
      <c r="C210" t="s">
        <v>548</v>
      </c>
      <c r="D210" t="s">
        <v>10</v>
      </c>
      <c r="E210">
        <v>47</v>
      </c>
      <c r="F210" t="s">
        <v>11</v>
      </c>
      <c r="G210">
        <v>3</v>
      </c>
      <c r="H210">
        <v>30</v>
      </c>
      <c r="I210">
        <v>90</v>
      </c>
    </row>
    <row r="211" spans="1:9" x14ac:dyDescent="0.3">
      <c r="A211">
        <v>997</v>
      </c>
      <c r="B211" s="1">
        <v>45247</v>
      </c>
      <c r="C211" t="s">
        <v>1010</v>
      </c>
      <c r="D211" t="s">
        <v>10</v>
      </c>
      <c r="E211">
        <v>52</v>
      </c>
      <c r="F211" t="s">
        <v>11</v>
      </c>
      <c r="G211">
        <v>3</v>
      </c>
      <c r="H211">
        <v>30</v>
      </c>
      <c r="I211">
        <v>90</v>
      </c>
    </row>
    <row r="212" spans="1:9" x14ac:dyDescent="0.3">
      <c r="A212">
        <v>229</v>
      </c>
      <c r="B212" s="1">
        <v>45228</v>
      </c>
      <c r="C212" t="s">
        <v>242</v>
      </c>
      <c r="D212" t="s">
        <v>10</v>
      </c>
      <c r="E212">
        <v>58</v>
      </c>
      <c r="F212" t="s">
        <v>11</v>
      </c>
      <c r="G212">
        <v>3</v>
      </c>
      <c r="H212">
        <v>30</v>
      </c>
      <c r="I212">
        <v>90</v>
      </c>
    </row>
    <row r="213" spans="1:9" x14ac:dyDescent="0.3">
      <c r="A213">
        <v>190</v>
      </c>
      <c r="B213" s="1">
        <v>45050</v>
      </c>
      <c r="C213" t="s">
        <v>203</v>
      </c>
      <c r="D213" t="s">
        <v>13</v>
      </c>
      <c r="E213">
        <v>60</v>
      </c>
      <c r="F213" t="s">
        <v>11</v>
      </c>
      <c r="G213">
        <v>3</v>
      </c>
      <c r="H213">
        <v>30</v>
      </c>
      <c r="I213">
        <v>90</v>
      </c>
    </row>
    <row r="214" spans="1:9" x14ac:dyDescent="0.3">
      <c r="A214">
        <v>829</v>
      </c>
      <c r="B214" s="1">
        <v>45121</v>
      </c>
      <c r="C214" t="s">
        <v>842</v>
      </c>
      <c r="D214" t="s">
        <v>10</v>
      </c>
      <c r="E214">
        <v>61</v>
      </c>
      <c r="F214" t="s">
        <v>11</v>
      </c>
      <c r="G214">
        <v>3</v>
      </c>
      <c r="H214">
        <v>30</v>
      </c>
      <c r="I214">
        <v>90</v>
      </c>
    </row>
    <row r="215" spans="1:9" x14ac:dyDescent="0.3">
      <c r="A215">
        <v>218</v>
      </c>
      <c r="B215" s="1">
        <v>45191</v>
      </c>
      <c r="C215" t="s">
        <v>231</v>
      </c>
      <c r="D215" t="s">
        <v>10</v>
      </c>
      <c r="E215">
        <v>64</v>
      </c>
      <c r="F215" t="s">
        <v>11</v>
      </c>
      <c r="G215">
        <v>3</v>
      </c>
      <c r="H215">
        <v>30</v>
      </c>
      <c r="I215">
        <v>90</v>
      </c>
    </row>
    <row r="216" spans="1:9" x14ac:dyDescent="0.3">
      <c r="A216">
        <v>37</v>
      </c>
      <c r="B216" s="1">
        <v>45069</v>
      </c>
      <c r="C216" t="s">
        <v>50</v>
      </c>
      <c r="D216" t="s">
        <v>13</v>
      </c>
      <c r="E216">
        <v>18</v>
      </c>
      <c r="F216" t="s">
        <v>11</v>
      </c>
      <c r="G216">
        <v>3</v>
      </c>
      <c r="H216">
        <v>25</v>
      </c>
      <c r="I216">
        <v>75</v>
      </c>
    </row>
    <row r="217" spans="1:9" x14ac:dyDescent="0.3">
      <c r="A217">
        <v>469</v>
      </c>
      <c r="B217" s="1">
        <v>45054</v>
      </c>
      <c r="C217" t="s">
        <v>482</v>
      </c>
      <c r="D217" t="s">
        <v>10</v>
      </c>
      <c r="E217">
        <v>18</v>
      </c>
      <c r="F217" t="s">
        <v>11</v>
      </c>
      <c r="G217">
        <v>3</v>
      </c>
      <c r="H217">
        <v>25</v>
      </c>
      <c r="I217">
        <v>75</v>
      </c>
    </row>
    <row r="218" spans="1:9" x14ac:dyDescent="0.3">
      <c r="A218">
        <v>644</v>
      </c>
      <c r="B218" s="1">
        <v>45175</v>
      </c>
      <c r="C218" t="s">
        <v>657</v>
      </c>
      <c r="D218" t="s">
        <v>10</v>
      </c>
      <c r="E218">
        <v>23</v>
      </c>
      <c r="F218" t="s">
        <v>11</v>
      </c>
      <c r="G218">
        <v>3</v>
      </c>
      <c r="H218">
        <v>25</v>
      </c>
      <c r="I218">
        <v>75</v>
      </c>
    </row>
    <row r="219" spans="1:9" x14ac:dyDescent="0.3">
      <c r="A219">
        <v>929</v>
      </c>
      <c r="B219" s="1">
        <v>44953</v>
      </c>
      <c r="C219" t="s">
        <v>942</v>
      </c>
      <c r="D219" t="s">
        <v>13</v>
      </c>
      <c r="E219">
        <v>23</v>
      </c>
      <c r="F219" t="s">
        <v>11</v>
      </c>
      <c r="G219">
        <v>3</v>
      </c>
      <c r="H219">
        <v>25</v>
      </c>
      <c r="I219">
        <v>75</v>
      </c>
    </row>
    <row r="220" spans="1:9" x14ac:dyDescent="0.3">
      <c r="A220">
        <v>768</v>
      </c>
      <c r="B220" s="1">
        <v>44940</v>
      </c>
      <c r="C220" t="s">
        <v>781</v>
      </c>
      <c r="D220" t="s">
        <v>13</v>
      </c>
      <c r="E220">
        <v>24</v>
      </c>
      <c r="F220" t="s">
        <v>11</v>
      </c>
      <c r="G220">
        <v>3</v>
      </c>
      <c r="H220">
        <v>25</v>
      </c>
      <c r="I220">
        <v>75</v>
      </c>
    </row>
    <row r="221" spans="1:9" x14ac:dyDescent="0.3">
      <c r="A221">
        <v>350</v>
      </c>
      <c r="B221" s="1">
        <v>45216</v>
      </c>
      <c r="C221" t="s">
        <v>363</v>
      </c>
      <c r="D221" t="s">
        <v>10</v>
      </c>
      <c r="E221">
        <v>25</v>
      </c>
      <c r="F221" t="s">
        <v>11</v>
      </c>
      <c r="G221">
        <v>3</v>
      </c>
      <c r="H221">
        <v>25</v>
      </c>
      <c r="I221">
        <v>75</v>
      </c>
    </row>
    <row r="222" spans="1:9" x14ac:dyDescent="0.3">
      <c r="A222">
        <v>50</v>
      </c>
      <c r="B222" s="1">
        <v>45162</v>
      </c>
      <c r="C222" t="s">
        <v>63</v>
      </c>
      <c r="D222" t="s">
        <v>13</v>
      </c>
      <c r="E222">
        <v>27</v>
      </c>
      <c r="F222" t="s">
        <v>11</v>
      </c>
      <c r="G222">
        <v>3</v>
      </c>
      <c r="H222">
        <v>25</v>
      </c>
      <c r="I222">
        <v>75</v>
      </c>
    </row>
    <row r="223" spans="1:9" x14ac:dyDescent="0.3">
      <c r="A223">
        <v>51</v>
      </c>
      <c r="B223" s="1">
        <v>45201</v>
      </c>
      <c r="C223" t="s">
        <v>64</v>
      </c>
      <c r="D223" t="s">
        <v>10</v>
      </c>
      <c r="E223">
        <v>27</v>
      </c>
      <c r="F223" t="s">
        <v>11</v>
      </c>
      <c r="G223">
        <v>3</v>
      </c>
      <c r="H223">
        <v>25</v>
      </c>
      <c r="I223">
        <v>75</v>
      </c>
    </row>
    <row r="224" spans="1:9" x14ac:dyDescent="0.3">
      <c r="A224">
        <v>108</v>
      </c>
      <c r="B224" s="1">
        <v>45035</v>
      </c>
      <c r="C224" t="s">
        <v>121</v>
      </c>
      <c r="D224" t="s">
        <v>13</v>
      </c>
      <c r="E224">
        <v>27</v>
      </c>
      <c r="F224" t="s">
        <v>11</v>
      </c>
      <c r="G224">
        <v>3</v>
      </c>
      <c r="H224">
        <v>25</v>
      </c>
      <c r="I224">
        <v>75</v>
      </c>
    </row>
    <row r="225" spans="1:9" x14ac:dyDescent="0.3">
      <c r="A225">
        <v>920</v>
      </c>
      <c r="B225" s="1">
        <v>44979</v>
      </c>
      <c r="C225" t="s">
        <v>933</v>
      </c>
      <c r="D225" t="s">
        <v>13</v>
      </c>
      <c r="E225">
        <v>28</v>
      </c>
      <c r="F225" t="s">
        <v>11</v>
      </c>
      <c r="G225">
        <v>3</v>
      </c>
      <c r="H225">
        <v>25</v>
      </c>
      <c r="I225">
        <v>75</v>
      </c>
    </row>
    <row r="226" spans="1:9" x14ac:dyDescent="0.3">
      <c r="A226">
        <v>713</v>
      </c>
      <c r="B226" s="1">
        <v>44940</v>
      </c>
      <c r="C226" t="s">
        <v>726</v>
      </c>
      <c r="D226" t="s">
        <v>10</v>
      </c>
      <c r="E226">
        <v>34</v>
      </c>
      <c r="F226" t="s">
        <v>11</v>
      </c>
      <c r="G226">
        <v>3</v>
      </c>
      <c r="H226">
        <v>25</v>
      </c>
      <c r="I226">
        <v>75</v>
      </c>
    </row>
    <row r="227" spans="1:9" x14ac:dyDescent="0.3">
      <c r="A227">
        <v>12</v>
      </c>
      <c r="B227" s="1">
        <v>45229</v>
      </c>
      <c r="C227" t="s">
        <v>25</v>
      </c>
      <c r="D227" t="s">
        <v>10</v>
      </c>
      <c r="E227">
        <v>35</v>
      </c>
      <c r="F227" t="s">
        <v>11</v>
      </c>
      <c r="G227">
        <v>3</v>
      </c>
      <c r="H227">
        <v>25</v>
      </c>
      <c r="I227">
        <v>75</v>
      </c>
    </row>
    <row r="228" spans="1:9" x14ac:dyDescent="0.3">
      <c r="A228">
        <v>767</v>
      </c>
      <c r="B228" s="1">
        <v>45223</v>
      </c>
      <c r="C228" t="s">
        <v>780</v>
      </c>
      <c r="D228" t="s">
        <v>10</v>
      </c>
      <c r="E228">
        <v>39</v>
      </c>
      <c r="F228" t="s">
        <v>11</v>
      </c>
      <c r="G228">
        <v>3</v>
      </c>
      <c r="H228">
        <v>25</v>
      </c>
      <c r="I228">
        <v>75</v>
      </c>
    </row>
    <row r="229" spans="1:9" x14ac:dyDescent="0.3">
      <c r="A229">
        <v>413</v>
      </c>
      <c r="B229" s="1">
        <v>45177</v>
      </c>
      <c r="C229" t="s">
        <v>426</v>
      </c>
      <c r="D229" t="s">
        <v>13</v>
      </c>
      <c r="E229">
        <v>44</v>
      </c>
      <c r="F229" t="s">
        <v>11</v>
      </c>
      <c r="G229">
        <v>3</v>
      </c>
      <c r="H229">
        <v>25</v>
      </c>
      <c r="I229">
        <v>75</v>
      </c>
    </row>
    <row r="230" spans="1:9" x14ac:dyDescent="0.3">
      <c r="A230">
        <v>622</v>
      </c>
      <c r="B230" s="1">
        <v>45160</v>
      </c>
      <c r="C230" t="s">
        <v>635</v>
      </c>
      <c r="D230" t="s">
        <v>13</v>
      </c>
      <c r="E230">
        <v>49</v>
      </c>
      <c r="F230" t="s">
        <v>11</v>
      </c>
      <c r="G230">
        <v>3</v>
      </c>
      <c r="H230">
        <v>25</v>
      </c>
      <c r="I230">
        <v>75</v>
      </c>
    </row>
    <row r="231" spans="1:9" x14ac:dyDescent="0.3">
      <c r="A231">
        <v>69</v>
      </c>
      <c r="B231" s="1">
        <v>45046</v>
      </c>
      <c r="C231" t="s">
        <v>82</v>
      </c>
      <c r="D231" t="s">
        <v>13</v>
      </c>
      <c r="E231">
        <v>56</v>
      </c>
      <c r="F231" t="s">
        <v>11</v>
      </c>
      <c r="G231">
        <v>3</v>
      </c>
      <c r="H231">
        <v>25</v>
      </c>
      <c r="I231">
        <v>75</v>
      </c>
    </row>
    <row r="232" spans="1:9" x14ac:dyDescent="0.3">
      <c r="A232">
        <v>374</v>
      </c>
      <c r="B232" s="1">
        <v>45036</v>
      </c>
      <c r="C232" t="s">
        <v>387</v>
      </c>
      <c r="D232" t="s">
        <v>13</v>
      </c>
      <c r="E232">
        <v>59</v>
      </c>
      <c r="F232" t="s">
        <v>11</v>
      </c>
      <c r="G232">
        <v>3</v>
      </c>
      <c r="H232">
        <v>25</v>
      </c>
      <c r="I232">
        <v>75</v>
      </c>
    </row>
    <row r="233" spans="1:9" x14ac:dyDescent="0.3">
      <c r="A233">
        <v>718</v>
      </c>
      <c r="B233" s="1">
        <v>45163</v>
      </c>
      <c r="C233" t="s">
        <v>731</v>
      </c>
      <c r="D233" t="s">
        <v>13</v>
      </c>
      <c r="E233">
        <v>59</v>
      </c>
      <c r="F233" t="s">
        <v>11</v>
      </c>
      <c r="G233">
        <v>3</v>
      </c>
      <c r="H233">
        <v>25</v>
      </c>
      <c r="I233">
        <v>75</v>
      </c>
    </row>
    <row r="234" spans="1:9" x14ac:dyDescent="0.3">
      <c r="A234">
        <v>872</v>
      </c>
      <c r="B234" s="1">
        <v>45210</v>
      </c>
      <c r="C234" t="s">
        <v>885</v>
      </c>
      <c r="D234" t="s">
        <v>13</v>
      </c>
      <c r="E234">
        <v>63</v>
      </c>
      <c r="F234" t="s">
        <v>11</v>
      </c>
      <c r="G234">
        <v>3</v>
      </c>
      <c r="H234">
        <v>25</v>
      </c>
      <c r="I234">
        <v>75</v>
      </c>
    </row>
    <row r="235" spans="1:9" x14ac:dyDescent="0.3">
      <c r="A235">
        <v>214</v>
      </c>
      <c r="B235" s="1">
        <v>45270</v>
      </c>
      <c r="C235" t="s">
        <v>227</v>
      </c>
      <c r="D235" t="s">
        <v>10</v>
      </c>
      <c r="E235">
        <v>20</v>
      </c>
      <c r="F235" t="s">
        <v>11</v>
      </c>
      <c r="G235">
        <v>2</v>
      </c>
      <c r="H235">
        <v>30</v>
      </c>
      <c r="I235">
        <v>60</v>
      </c>
    </row>
    <row r="236" spans="1:9" x14ac:dyDescent="0.3">
      <c r="A236">
        <v>263</v>
      </c>
      <c r="B236" s="1">
        <v>45166</v>
      </c>
      <c r="C236" t="s">
        <v>276</v>
      </c>
      <c r="D236" t="s">
        <v>10</v>
      </c>
      <c r="E236">
        <v>23</v>
      </c>
      <c r="F236" t="s">
        <v>11</v>
      </c>
      <c r="G236">
        <v>2</v>
      </c>
      <c r="H236">
        <v>30</v>
      </c>
      <c r="I236">
        <v>60</v>
      </c>
    </row>
    <row r="237" spans="1:9" x14ac:dyDescent="0.3">
      <c r="A237">
        <v>495</v>
      </c>
      <c r="B237" s="1">
        <v>45131</v>
      </c>
      <c r="C237" t="s">
        <v>508</v>
      </c>
      <c r="D237" t="s">
        <v>10</v>
      </c>
      <c r="E237">
        <v>24</v>
      </c>
      <c r="F237" t="s">
        <v>11</v>
      </c>
      <c r="G237">
        <v>2</v>
      </c>
      <c r="H237">
        <v>30</v>
      </c>
      <c r="I237">
        <v>60</v>
      </c>
    </row>
    <row r="238" spans="1:9" x14ac:dyDescent="0.3">
      <c r="A238">
        <v>260</v>
      </c>
      <c r="B238" s="1">
        <v>45108</v>
      </c>
      <c r="C238" t="s">
        <v>273</v>
      </c>
      <c r="D238" t="s">
        <v>10</v>
      </c>
      <c r="E238">
        <v>28</v>
      </c>
      <c r="F238" t="s">
        <v>11</v>
      </c>
      <c r="G238">
        <v>2</v>
      </c>
      <c r="H238">
        <v>30</v>
      </c>
      <c r="I238">
        <v>60</v>
      </c>
    </row>
    <row r="239" spans="1:9" x14ac:dyDescent="0.3">
      <c r="A239">
        <v>565</v>
      </c>
      <c r="B239" s="1">
        <v>45237</v>
      </c>
      <c r="C239" t="s">
        <v>578</v>
      </c>
      <c r="D239" t="s">
        <v>13</v>
      </c>
      <c r="E239">
        <v>45</v>
      </c>
      <c r="F239" t="s">
        <v>11</v>
      </c>
      <c r="G239">
        <v>2</v>
      </c>
      <c r="H239">
        <v>30</v>
      </c>
      <c r="I239">
        <v>60</v>
      </c>
    </row>
    <row r="240" spans="1:9" x14ac:dyDescent="0.3">
      <c r="A240">
        <v>499</v>
      </c>
      <c r="B240" s="1">
        <v>44941</v>
      </c>
      <c r="C240" t="s">
        <v>512</v>
      </c>
      <c r="D240" t="s">
        <v>10</v>
      </c>
      <c r="E240">
        <v>46</v>
      </c>
      <c r="F240" t="s">
        <v>11</v>
      </c>
      <c r="G240">
        <v>2</v>
      </c>
      <c r="H240">
        <v>30</v>
      </c>
      <c r="I240">
        <v>60</v>
      </c>
    </row>
    <row r="241" spans="1:9" x14ac:dyDescent="0.3">
      <c r="A241">
        <v>581</v>
      </c>
      <c r="B241" s="1">
        <v>45251</v>
      </c>
      <c r="C241" t="s">
        <v>594</v>
      </c>
      <c r="D241" t="s">
        <v>13</v>
      </c>
      <c r="E241">
        <v>48</v>
      </c>
      <c r="F241" t="s">
        <v>11</v>
      </c>
      <c r="G241">
        <v>2</v>
      </c>
      <c r="H241">
        <v>30</v>
      </c>
      <c r="I241">
        <v>60</v>
      </c>
    </row>
    <row r="242" spans="1:9" x14ac:dyDescent="0.3">
      <c r="A242">
        <v>573</v>
      </c>
      <c r="B242" s="1">
        <v>45188</v>
      </c>
      <c r="C242" t="s">
        <v>586</v>
      </c>
      <c r="D242" t="s">
        <v>10</v>
      </c>
      <c r="E242">
        <v>49</v>
      </c>
      <c r="F242" t="s">
        <v>11</v>
      </c>
      <c r="G242">
        <v>2</v>
      </c>
      <c r="H242">
        <v>30</v>
      </c>
      <c r="I242">
        <v>60</v>
      </c>
    </row>
    <row r="243" spans="1:9" x14ac:dyDescent="0.3">
      <c r="A243">
        <v>701</v>
      </c>
      <c r="B243" s="1">
        <v>45274</v>
      </c>
      <c r="C243" t="s">
        <v>714</v>
      </c>
      <c r="D243" t="s">
        <v>13</v>
      </c>
      <c r="E243">
        <v>52</v>
      </c>
      <c r="F243" t="s">
        <v>11</v>
      </c>
      <c r="G243">
        <v>2</v>
      </c>
      <c r="H243">
        <v>30</v>
      </c>
      <c r="I243">
        <v>60</v>
      </c>
    </row>
    <row r="244" spans="1:9" x14ac:dyDescent="0.3">
      <c r="A244">
        <v>448</v>
      </c>
      <c r="B244" s="1">
        <v>44947</v>
      </c>
      <c r="C244" t="s">
        <v>461</v>
      </c>
      <c r="D244" t="s">
        <v>13</v>
      </c>
      <c r="E244">
        <v>54</v>
      </c>
      <c r="F244" t="s">
        <v>11</v>
      </c>
      <c r="G244">
        <v>2</v>
      </c>
      <c r="H244">
        <v>30</v>
      </c>
      <c r="I244">
        <v>60</v>
      </c>
    </row>
    <row r="245" spans="1:9" x14ac:dyDescent="0.3">
      <c r="A245">
        <v>834</v>
      </c>
      <c r="B245" s="1">
        <v>45020</v>
      </c>
      <c r="C245" t="s">
        <v>847</v>
      </c>
      <c r="D245" t="s">
        <v>13</v>
      </c>
      <c r="E245">
        <v>56</v>
      </c>
      <c r="F245" t="s">
        <v>11</v>
      </c>
      <c r="G245">
        <v>2</v>
      </c>
      <c r="H245">
        <v>30</v>
      </c>
      <c r="I245">
        <v>60</v>
      </c>
    </row>
    <row r="246" spans="1:9" x14ac:dyDescent="0.3">
      <c r="A246">
        <v>871</v>
      </c>
      <c r="B246" s="1">
        <v>45169</v>
      </c>
      <c r="C246" t="s">
        <v>884</v>
      </c>
      <c r="D246" t="s">
        <v>10</v>
      </c>
      <c r="E246">
        <v>62</v>
      </c>
      <c r="F246" t="s">
        <v>11</v>
      </c>
      <c r="G246">
        <v>2</v>
      </c>
      <c r="H246">
        <v>30</v>
      </c>
      <c r="I246">
        <v>60</v>
      </c>
    </row>
    <row r="247" spans="1:9" x14ac:dyDescent="0.3">
      <c r="A247">
        <v>399</v>
      </c>
      <c r="B247" s="1">
        <v>44986</v>
      </c>
      <c r="C247" t="s">
        <v>412</v>
      </c>
      <c r="D247" t="s">
        <v>13</v>
      </c>
      <c r="E247">
        <v>64</v>
      </c>
      <c r="F247" t="s">
        <v>11</v>
      </c>
      <c r="G247">
        <v>2</v>
      </c>
      <c r="H247">
        <v>30</v>
      </c>
      <c r="I247">
        <v>60</v>
      </c>
    </row>
    <row r="248" spans="1:9" x14ac:dyDescent="0.3">
      <c r="A248">
        <v>391</v>
      </c>
      <c r="B248" s="1">
        <v>44931</v>
      </c>
      <c r="C248" t="s">
        <v>404</v>
      </c>
      <c r="D248" t="s">
        <v>10</v>
      </c>
      <c r="E248">
        <v>19</v>
      </c>
      <c r="F248" t="s">
        <v>11</v>
      </c>
      <c r="G248">
        <v>2</v>
      </c>
      <c r="H248">
        <v>25</v>
      </c>
      <c r="I248">
        <v>50</v>
      </c>
    </row>
    <row r="249" spans="1:9" x14ac:dyDescent="0.3">
      <c r="A249">
        <v>542</v>
      </c>
      <c r="B249" s="1">
        <v>45094</v>
      </c>
      <c r="C249" t="s">
        <v>555</v>
      </c>
      <c r="D249" t="s">
        <v>13</v>
      </c>
      <c r="E249">
        <v>20</v>
      </c>
      <c r="F249" t="s">
        <v>11</v>
      </c>
      <c r="G249">
        <v>1</v>
      </c>
      <c r="H249">
        <v>50</v>
      </c>
      <c r="I249">
        <v>50</v>
      </c>
    </row>
    <row r="250" spans="1:9" x14ac:dyDescent="0.3">
      <c r="A250">
        <v>792</v>
      </c>
      <c r="B250" s="1">
        <v>45116</v>
      </c>
      <c r="C250" t="s">
        <v>805</v>
      </c>
      <c r="D250" t="s">
        <v>13</v>
      </c>
      <c r="E250">
        <v>20</v>
      </c>
      <c r="F250" t="s">
        <v>11</v>
      </c>
      <c r="G250">
        <v>1</v>
      </c>
      <c r="H250">
        <v>50</v>
      </c>
      <c r="I250">
        <v>50</v>
      </c>
    </row>
    <row r="251" spans="1:9" x14ac:dyDescent="0.3">
      <c r="A251">
        <v>273</v>
      </c>
      <c r="B251" s="1">
        <v>45054</v>
      </c>
      <c r="C251" t="s">
        <v>286</v>
      </c>
      <c r="D251" t="s">
        <v>13</v>
      </c>
      <c r="E251">
        <v>22</v>
      </c>
      <c r="F251" t="s">
        <v>11</v>
      </c>
      <c r="G251">
        <v>1</v>
      </c>
      <c r="H251">
        <v>50</v>
      </c>
      <c r="I251">
        <v>50</v>
      </c>
    </row>
    <row r="252" spans="1:9" x14ac:dyDescent="0.3">
      <c r="A252">
        <v>919</v>
      </c>
      <c r="B252" s="1">
        <v>45178</v>
      </c>
      <c r="C252" t="s">
        <v>932</v>
      </c>
      <c r="D252" t="s">
        <v>13</v>
      </c>
      <c r="E252">
        <v>22</v>
      </c>
      <c r="F252" t="s">
        <v>11</v>
      </c>
      <c r="G252">
        <v>2</v>
      </c>
      <c r="H252">
        <v>25</v>
      </c>
      <c r="I252">
        <v>50</v>
      </c>
    </row>
    <row r="253" spans="1:9" x14ac:dyDescent="0.3">
      <c r="A253">
        <v>505</v>
      </c>
      <c r="B253" s="1">
        <v>44946</v>
      </c>
      <c r="C253" t="s">
        <v>518</v>
      </c>
      <c r="D253" t="s">
        <v>10</v>
      </c>
      <c r="E253">
        <v>24</v>
      </c>
      <c r="F253" t="s">
        <v>11</v>
      </c>
      <c r="G253">
        <v>1</v>
      </c>
      <c r="H253">
        <v>50</v>
      </c>
      <c r="I253">
        <v>50</v>
      </c>
    </row>
    <row r="254" spans="1:9" x14ac:dyDescent="0.3">
      <c r="A254">
        <v>618</v>
      </c>
      <c r="B254" s="1">
        <v>44952</v>
      </c>
      <c r="C254" t="s">
        <v>631</v>
      </c>
      <c r="D254" t="s">
        <v>13</v>
      </c>
      <c r="E254">
        <v>27</v>
      </c>
      <c r="F254" t="s">
        <v>11</v>
      </c>
      <c r="G254">
        <v>1</v>
      </c>
      <c r="H254">
        <v>50</v>
      </c>
      <c r="I254">
        <v>50</v>
      </c>
    </row>
    <row r="255" spans="1:9" x14ac:dyDescent="0.3">
      <c r="A255">
        <v>172</v>
      </c>
      <c r="B255" s="1">
        <v>45186</v>
      </c>
      <c r="C255" t="s">
        <v>185</v>
      </c>
      <c r="D255" t="s">
        <v>10</v>
      </c>
      <c r="E255">
        <v>32</v>
      </c>
      <c r="F255" t="s">
        <v>11</v>
      </c>
      <c r="G255">
        <v>2</v>
      </c>
      <c r="H255">
        <v>25</v>
      </c>
      <c r="I255">
        <v>50</v>
      </c>
    </row>
    <row r="256" spans="1:9" x14ac:dyDescent="0.3">
      <c r="A256">
        <v>935</v>
      </c>
      <c r="B256" s="1">
        <v>45178</v>
      </c>
      <c r="C256" t="s">
        <v>948</v>
      </c>
      <c r="D256" t="s">
        <v>13</v>
      </c>
      <c r="E256">
        <v>34</v>
      </c>
      <c r="F256" t="s">
        <v>11</v>
      </c>
      <c r="G256">
        <v>1</v>
      </c>
      <c r="H256">
        <v>50</v>
      </c>
      <c r="I256">
        <v>50</v>
      </c>
    </row>
    <row r="257" spans="1:9" x14ac:dyDescent="0.3">
      <c r="A257">
        <v>27</v>
      </c>
      <c r="B257" s="1">
        <v>45141</v>
      </c>
      <c r="C257" t="s">
        <v>40</v>
      </c>
      <c r="D257" t="s">
        <v>13</v>
      </c>
      <c r="E257">
        <v>38</v>
      </c>
      <c r="F257" t="s">
        <v>11</v>
      </c>
      <c r="G257">
        <v>2</v>
      </c>
      <c r="H257">
        <v>25</v>
      </c>
      <c r="I257">
        <v>50</v>
      </c>
    </row>
    <row r="258" spans="1:9" x14ac:dyDescent="0.3">
      <c r="A258">
        <v>460</v>
      </c>
      <c r="B258" s="1">
        <v>45048</v>
      </c>
      <c r="C258" t="s">
        <v>473</v>
      </c>
      <c r="D258" t="s">
        <v>10</v>
      </c>
      <c r="E258">
        <v>40</v>
      </c>
      <c r="F258" t="s">
        <v>11</v>
      </c>
      <c r="G258">
        <v>1</v>
      </c>
      <c r="H258">
        <v>50</v>
      </c>
      <c r="I258">
        <v>50</v>
      </c>
    </row>
    <row r="259" spans="1:9" x14ac:dyDescent="0.3">
      <c r="A259">
        <v>493</v>
      </c>
      <c r="B259" s="1">
        <v>45255</v>
      </c>
      <c r="C259" t="s">
        <v>506</v>
      </c>
      <c r="D259" t="s">
        <v>10</v>
      </c>
      <c r="E259">
        <v>41</v>
      </c>
      <c r="F259" t="s">
        <v>11</v>
      </c>
      <c r="G259">
        <v>2</v>
      </c>
      <c r="H259">
        <v>25</v>
      </c>
      <c r="I259">
        <v>50</v>
      </c>
    </row>
    <row r="260" spans="1:9" x14ac:dyDescent="0.3">
      <c r="A260">
        <v>207</v>
      </c>
      <c r="B260" s="1">
        <v>45035</v>
      </c>
      <c r="C260" t="s">
        <v>220</v>
      </c>
      <c r="D260" t="s">
        <v>13</v>
      </c>
      <c r="E260">
        <v>42</v>
      </c>
      <c r="F260" t="s">
        <v>11</v>
      </c>
      <c r="G260">
        <v>2</v>
      </c>
      <c r="H260">
        <v>25</v>
      </c>
      <c r="I260">
        <v>50</v>
      </c>
    </row>
    <row r="261" spans="1:9" x14ac:dyDescent="0.3">
      <c r="A261">
        <v>846</v>
      </c>
      <c r="B261" s="1">
        <v>45191</v>
      </c>
      <c r="C261" t="s">
        <v>859</v>
      </c>
      <c r="D261" t="s">
        <v>10</v>
      </c>
      <c r="E261">
        <v>42</v>
      </c>
      <c r="F261" t="s">
        <v>11</v>
      </c>
      <c r="G261">
        <v>1</v>
      </c>
      <c r="H261">
        <v>50</v>
      </c>
      <c r="I261">
        <v>50</v>
      </c>
    </row>
    <row r="262" spans="1:9" x14ac:dyDescent="0.3">
      <c r="A262">
        <v>40</v>
      </c>
      <c r="B262" s="1">
        <v>45099</v>
      </c>
      <c r="C262" t="s">
        <v>53</v>
      </c>
      <c r="D262" t="s">
        <v>10</v>
      </c>
      <c r="E262">
        <v>45</v>
      </c>
      <c r="F262" t="s">
        <v>11</v>
      </c>
      <c r="G262">
        <v>1</v>
      </c>
      <c r="H262">
        <v>50</v>
      </c>
      <c r="I262">
        <v>50</v>
      </c>
    </row>
    <row r="263" spans="1:9" x14ac:dyDescent="0.3">
      <c r="A263">
        <v>102</v>
      </c>
      <c r="B263" s="1">
        <v>45044</v>
      </c>
      <c r="C263" t="s">
        <v>115</v>
      </c>
      <c r="D263" t="s">
        <v>13</v>
      </c>
      <c r="E263">
        <v>47</v>
      </c>
      <c r="F263" t="s">
        <v>11</v>
      </c>
      <c r="G263">
        <v>2</v>
      </c>
      <c r="H263">
        <v>25</v>
      </c>
      <c r="I263">
        <v>50</v>
      </c>
    </row>
    <row r="264" spans="1:9" x14ac:dyDescent="0.3">
      <c r="A264">
        <v>525</v>
      </c>
      <c r="B264" s="1">
        <v>45278</v>
      </c>
      <c r="C264" t="s">
        <v>538</v>
      </c>
      <c r="D264" t="s">
        <v>13</v>
      </c>
      <c r="E264">
        <v>47</v>
      </c>
      <c r="F264" t="s">
        <v>11</v>
      </c>
      <c r="G264">
        <v>2</v>
      </c>
      <c r="H264">
        <v>25</v>
      </c>
      <c r="I264">
        <v>50</v>
      </c>
    </row>
    <row r="265" spans="1:9" x14ac:dyDescent="0.3">
      <c r="A265">
        <v>902</v>
      </c>
      <c r="B265" s="1">
        <v>45078</v>
      </c>
      <c r="C265" t="s">
        <v>915</v>
      </c>
      <c r="D265" t="s">
        <v>13</v>
      </c>
      <c r="E265">
        <v>54</v>
      </c>
      <c r="F265" t="s">
        <v>11</v>
      </c>
      <c r="G265">
        <v>1</v>
      </c>
      <c r="H265">
        <v>50</v>
      </c>
      <c r="I265">
        <v>50</v>
      </c>
    </row>
    <row r="266" spans="1:9" x14ac:dyDescent="0.3">
      <c r="A266">
        <v>963</v>
      </c>
      <c r="B266" s="1">
        <v>45244</v>
      </c>
      <c r="C266" t="s">
        <v>976</v>
      </c>
      <c r="D266" t="s">
        <v>13</v>
      </c>
      <c r="E266">
        <v>55</v>
      </c>
      <c r="F266" t="s">
        <v>11</v>
      </c>
      <c r="G266">
        <v>1</v>
      </c>
      <c r="H266">
        <v>50</v>
      </c>
      <c r="I266">
        <v>50</v>
      </c>
    </row>
    <row r="267" spans="1:9" x14ac:dyDescent="0.3">
      <c r="A267">
        <v>349</v>
      </c>
      <c r="B267" s="1">
        <v>45225</v>
      </c>
      <c r="C267" t="s">
        <v>362</v>
      </c>
      <c r="D267" t="s">
        <v>13</v>
      </c>
      <c r="E267">
        <v>57</v>
      </c>
      <c r="F267" t="s">
        <v>11</v>
      </c>
      <c r="G267">
        <v>1</v>
      </c>
      <c r="H267">
        <v>50</v>
      </c>
      <c r="I267">
        <v>50</v>
      </c>
    </row>
    <row r="268" spans="1:9" x14ac:dyDescent="0.3">
      <c r="A268">
        <v>712</v>
      </c>
      <c r="B268" s="1">
        <v>45266</v>
      </c>
      <c r="C268" t="s">
        <v>725</v>
      </c>
      <c r="D268" t="s">
        <v>13</v>
      </c>
      <c r="E268">
        <v>57</v>
      </c>
      <c r="F268" t="s">
        <v>11</v>
      </c>
      <c r="G268">
        <v>2</v>
      </c>
      <c r="H268">
        <v>25</v>
      </c>
      <c r="I268">
        <v>50</v>
      </c>
    </row>
    <row r="269" spans="1:9" x14ac:dyDescent="0.3">
      <c r="A269">
        <v>450</v>
      </c>
      <c r="B269" s="1">
        <v>45034</v>
      </c>
      <c r="C269" t="s">
        <v>463</v>
      </c>
      <c r="D269" t="s">
        <v>13</v>
      </c>
      <c r="E269">
        <v>59</v>
      </c>
      <c r="F269" t="s">
        <v>11</v>
      </c>
      <c r="G269">
        <v>2</v>
      </c>
      <c r="H269">
        <v>25</v>
      </c>
      <c r="I269">
        <v>50</v>
      </c>
    </row>
    <row r="270" spans="1:9" x14ac:dyDescent="0.3">
      <c r="A270">
        <v>120</v>
      </c>
      <c r="B270" s="1">
        <v>45053</v>
      </c>
      <c r="C270" t="s">
        <v>133</v>
      </c>
      <c r="D270" t="s">
        <v>10</v>
      </c>
      <c r="E270">
        <v>60</v>
      </c>
      <c r="F270" t="s">
        <v>11</v>
      </c>
      <c r="G270">
        <v>1</v>
      </c>
      <c r="H270">
        <v>50</v>
      </c>
      <c r="I270">
        <v>50</v>
      </c>
    </row>
    <row r="271" spans="1:9" x14ac:dyDescent="0.3">
      <c r="A271">
        <v>811</v>
      </c>
      <c r="B271" s="1">
        <v>45065</v>
      </c>
      <c r="C271" t="s">
        <v>824</v>
      </c>
      <c r="D271" t="s">
        <v>10</v>
      </c>
      <c r="E271">
        <v>61</v>
      </c>
      <c r="F271" t="s">
        <v>11</v>
      </c>
      <c r="G271">
        <v>2</v>
      </c>
      <c r="H271">
        <v>25</v>
      </c>
      <c r="I271">
        <v>50</v>
      </c>
    </row>
    <row r="272" spans="1:9" x14ac:dyDescent="0.3">
      <c r="A272">
        <v>189</v>
      </c>
      <c r="B272" s="1">
        <v>44956</v>
      </c>
      <c r="C272" t="s">
        <v>202</v>
      </c>
      <c r="D272" t="s">
        <v>10</v>
      </c>
      <c r="E272">
        <v>63</v>
      </c>
      <c r="F272" t="s">
        <v>11</v>
      </c>
      <c r="G272">
        <v>1</v>
      </c>
      <c r="H272">
        <v>50</v>
      </c>
      <c r="I272">
        <v>50</v>
      </c>
    </row>
    <row r="273" spans="1:9" x14ac:dyDescent="0.3">
      <c r="A273">
        <v>25</v>
      </c>
      <c r="B273" s="1">
        <v>45286</v>
      </c>
      <c r="C273" t="s">
        <v>38</v>
      </c>
      <c r="D273" t="s">
        <v>13</v>
      </c>
      <c r="E273">
        <v>64</v>
      </c>
      <c r="F273" t="s">
        <v>11</v>
      </c>
      <c r="G273">
        <v>1</v>
      </c>
      <c r="H273">
        <v>50</v>
      </c>
      <c r="I273">
        <v>50</v>
      </c>
    </row>
    <row r="274" spans="1:9" x14ac:dyDescent="0.3">
      <c r="A274">
        <v>473</v>
      </c>
      <c r="B274" s="1">
        <v>44982</v>
      </c>
      <c r="C274" t="s">
        <v>486</v>
      </c>
      <c r="D274" t="s">
        <v>10</v>
      </c>
      <c r="E274">
        <v>64</v>
      </c>
      <c r="F274" t="s">
        <v>11</v>
      </c>
      <c r="G274">
        <v>1</v>
      </c>
      <c r="H274">
        <v>50</v>
      </c>
      <c r="I274">
        <v>50</v>
      </c>
    </row>
    <row r="275" spans="1:9" x14ac:dyDescent="0.3">
      <c r="A275">
        <v>305</v>
      </c>
      <c r="B275" s="1">
        <v>45062</v>
      </c>
      <c r="C275" t="s">
        <v>318</v>
      </c>
      <c r="D275" t="s">
        <v>13</v>
      </c>
      <c r="E275">
        <v>18</v>
      </c>
      <c r="F275" t="s">
        <v>11</v>
      </c>
      <c r="G275">
        <v>1</v>
      </c>
      <c r="H275">
        <v>30</v>
      </c>
      <c r="I275">
        <v>30</v>
      </c>
    </row>
    <row r="276" spans="1:9" x14ac:dyDescent="0.3">
      <c r="A276">
        <v>933</v>
      </c>
      <c r="B276" s="1">
        <v>44960</v>
      </c>
      <c r="C276" t="s">
        <v>946</v>
      </c>
      <c r="D276" t="s">
        <v>10</v>
      </c>
      <c r="E276">
        <v>22</v>
      </c>
      <c r="F276" t="s">
        <v>11</v>
      </c>
      <c r="G276">
        <v>1</v>
      </c>
      <c r="H276">
        <v>30</v>
      </c>
      <c r="I276">
        <v>30</v>
      </c>
    </row>
    <row r="277" spans="1:9" x14ac:dyDescent="0.3">
      <c r="A277">
        <v>747</v>
      </c>
      <c r="B277" s="1">
        <v>45245</v>
      </c>
      <c r="C277" t="s">
        <v>760</v>
      </c>
      <c r="D277" t="s">
        <v>10</v>
      </c>
      <c r="E277">
        <v>23</v>
      </c>
      <c r="F277" t="s">
        <v>11</v>
      </c>
      <c r="G277">
        <v>1</v>
      </c>
      <c r="H277">
        <v>30</v>
      </c>
      <c r="I277">
        <v>30</v>
      </c>
    </row>
    <row r="278" spans="1:9" x14ac:dyDescent="0.3">
      <c r="A278">
        <v>670</v>
      </c>
      <c r="B278" s="1">
        <v>45204</v>
      </c>
      <c r="C278" t="s">
        <v>683</v>
      </c>
      <c r="D278" t="s">
        <v>10</v>
      </c>
      <c r="E278">
        <v>27</v>
      </c>
      <c r="F278" t="s">
        <v>11</v>
      </c>
      <c r="G278">
        <v>1</v>
      </c>
      <c r="H278">
        <v>30</v>
      </c>
      <c r="I278">
        <v>30</v>
      </c>
    </row>
    <row r="279" spans="1:9" x14ac:dyDescent="0.3">
      <c r="A279">
        <v>733</v>
      </c>
      <c r="B279" s="1">
        <v>45167</v>
      </c>
      <c r="C279" t="s">
        <v>746</v>
      </c>
      <c r="D279" t="s">
        <v>10</v>
      </c>
      <c r="E279">
        <v>34</v>
      </c>
      <c r="F279" t="s">
        <v>11</v>
      </c>
      <c r="G279">
        <v>1</v>
      </c>
      <c r="H279">
        <v>30</v>
      </c>
      <c r="I279">
        <v>30</v>
      </c>
    </row>
    <row r="280" spans="1:9" x14ac:dyDescent="0.3">
      <c r="A280">
        <v>344</v>
      </c>
      <c r="B280" s="1">
        <v>44947</v>
      </c>
      <c r="C280" t="s">
        <v>357</v>
      </c>
      <c r="D280" t="s">
        <v>13</v>
      </c>
      <c r="E280">
        <v>42</v>
      </c>
      <c r="F280" t="s">
        <v>11</v>
      </c>
      <c r="G280">
        <v>1</v>
      </c>
      <c r="H280">
        <v>30</v>
      </c>
      <c r="I280">
        <v>30</v>
      </c>
    </row>
    <row r="281" spans="1:9" x14ac:dyDescent="0.3">
      <c r="A281">
        <v>749</v>
      </c>
      <c r="B281" s="1">
        <v>45049</v>
      </c>
      <c r="C281" t="s">
        <v>762</v>
      </c>
      <c r="D281" t="s">
        <v>10</v>
      </c>
      <c r="E281">
        <v>42</v>
      </c>
      <c r="F281" t="s">
        <v>11</v>
      </c>
      <c r="G281">
        <v>1</v>
      </c>
      <c r="H281">
        <v>30</v>
      </c>
      <c r="I281">
        <v>30</v>
      </c>
    </row>
    <row r="282" spans="1:9" x14ac:dyDescent="0.3">
      <c r="A282">
        <v>387</v>
      </c>
      <c r="B282" s="1">
        <v>45081</v>
      </c>
      <c r="C282" t="s">
        <v>400</v>
      </c>
      <c r="D282" t="s">
        <v>10</v>
      </c>
      <c r="E282">
        <v>44</v>
      </c>
      <c r="F282" t="s">
        <v>11</v>
      </c>
      <c r="G282">
        <v>1</v>
      </c>
      <c r="H282">
        <v>30</v>
      </c>
      <c r="I282">
        <v>30</v>
      </c>
    </row>
    <row r="283" spans="1:9" x14ac:dyDescent="0.3">
      <c r="A283">
        <v>6</v>
      </c>
      <c r="B283" s="1">
        <v>45041</v>
      </c>
      <c r="C283" t="s">
        <v>19</v>
      </c>
      <c r="D283" t="s">
        <v>13</v>
      </c>
      <c r="E283">
        <v>45</v>
      </c>
      <c r="F283" t="s">
        <v>11</v>
      </c>
      <c r="G283">
        <v>1</v>
      </c>
      <c r="H283">
        <v>30</v>
      </c>
      <c r="I283">
        <v>30</v>
      </c>
    </row>
    <row r="284" spans="1:9" x14ac:dyDescent="0.3">
      <c r="A284">
        <v>802</v>
      </c>
      <c r="B284" s="1">
        <v>45112</v>
      </c>
      <c r="C284" t="s">
        <v>815</v>
      </c>
      <c r="D284" t="s">
        <v>13</v>
      </c>
      <c r="E284">
        <v>46</v>
      </c>
      <c r="F284" t="s">
        <v>11</v>
      </c>
      <c r="G284">
        <v>1</v>
      </c>
      <c r="H284">
        <v>30</v>
      </c>
      <c r="I284">
        <v>30</v>
      </c>
    </row>
    <row r="285" spans="1:9" x14ac:dyDescent="0.3">
      <c r="A285">
        <v>974</v>
      </c>
      <c r="B285" s="1">
        <v>45049</v>
      </c>
      <c r="C285" t="s">
        <v>987</v>
      </c>
      <c r="D285" t="s">
        <v>10</v>
      </c>
      <c r="E285">
        <v>47</v>
      </c>
      <c r="F285" t="s">
        <v>11</v>
      </c>
      <c r="G285">
        <v>1</v>
      </c>
      <c r="H285">
        <v>30</v>
      </c>
      <c r="I285">
        <v>30</v>
      </c>
    </row>
    <row r="286" spans="1:9" x14ac:dyDescent="0.3">
      <c r="A286">
        <v>793</v>
      </c>
      <c r="B286" s="1">
        <v>44962</v>
      </c>
      <c r="C286" t="s">
        <v>806</v>
      </c>
      <c r="D286" t="s">
        <v>10</v>
      </c>
      <c r="E286">
        <v>54</v>
      </c>
      <c r="F286" t="s">
        <v>11</v>
      </c>
      <c r="G286">
        <v>1</v>
      </c>
      <c r="H286">
        <v>30</v>
      </c>
      <c r="I286">
        <v>30</v>
      </c>
    </row>
    <row r="287" spans="1:9" x14ac:dyDescent="0.3">
      <c r="A287">
        <v>396</v>
      </c>
      <c r="B287" s="1">
        <v>44980</v>
      </c>
      <c r="C287" t="s">
        <v>409</v>
      </c>
      <c r="D287" t="s">
        <v>13</v>
      </c>
      <c r="E287">
        <v>55</v>
      </c>
      <c r="F287" t="s">
        <v>11</v>
      </c>
      <c r="G287">
        <v>1</v>
      </c>
      <c r="H287">
        <v>30</v>
      </c>
      <c r="I287">
        <v>30</v>
      </c>
    </row>
    <row r="288" spans="1:9" x14ac:dyDescent="0.3">
      <c r="A288">
        <v>874</v>
      </c>
      <c r="B288" s="1">
        <v>45103</v>
      </c>
      <c r="C288" t="s">
        <v>887</v>
      </c>
      <c r="D288" t="s">
        <v>10</v>
      </c>
      <c r="E288">
        <v>60</v>
      </c>
      <c r="F288" t="s">
        <v>11</v>
      </c>
      <c r="G288">
        <v>1</v>
      </c>
      <c r="H288">
        <v>30</v>
      </c>
      <c r="I288">
        <v>30</v>
      </c>
    </row>
    <row r="289" spans="1:9" x14ac:dyDescent="0.3">
      <c r="A289">
        <v>57</v>
      </c>
      <c r="B289" s="1">
        <v>45248</v>
      </c>
      <c r="C289" t="s">
        <v>70</v>
      </c>
      <c r="D289" t="s">
        <v>13</v>
      </c>
      <c r="E289">
        <v>63</v>
      </c>
      <c r="F289" t="s">
        <v>11</v>
      </c>
      <c r="G289">
        <v>1</v>
      </c>
      <c r="H289">
        <v>30</v>
      </c>
      <c r="I289">
        <v>30</v>
      </c>
    </row>
    <row r="290" spans="1:9" x14ac:dyDescent="0.3">
      <c r="A290">
        <v>376</v>
      </c>
      <c r="B290" s="1">
        <v>45062</v>
      </c>
      <c r="C290" t="s">
        <v>389</v>
      </c>
      <c r="D290" t="s">
        <v>13</v>
      </c>
      <c r="E290">
        <v>64</v>
      </c>
      <c r="F290" t="s">
        <v>11</v>
      </c>
      <c r="G290">
        <v>1</v>
      </c>
      <c r="H290">
        <v>30</v>
      </c>
      <c r="I290">
        <v>30</v>
      </c>
    </row>
    <row r="291" spans="1:9" x14ac:dyDescent="0.3">
      <c r="A291">
        <v>979</v>
      </c>
      <c r="B291" s="1">
        <v>44928</v>
      </c>
      <c r="C291" t="s">
        <v>992</v>
      </c>
      <c r="D291" t="s">
        <v>13</v>
      </c>
      <c r="E291">
        <v>19</v>
      </c>
      <c r="F291" t="s">
        <v>11</v>
      </c>
      <c r="G291">
        <v>1</v>
      </c>
      <c r="H291">
        <v>25</v>
      </c>
      <c r="I291">
        <v>25</v>
      </c>
    </row>
    <row r="292" spans="1:9" x14ac:dyDescent="0.3">
      <c r="A292">
        <v>371</v>
      </c>
      <c r="B292" s="1">
        <v>44978</v>
      </c>
      <c r="C292" t="s">
        <v>384</v>
      </c>
      <c r="D292" t="s">
        <v>13</v>
      </c>
      <c r="E292">
        <v>20</v>
      </c>
      <c r="F292" t="s">
        <v>11</v>
      </c>
      <c r="G292">
        <v>1</v>
      </c>
      <c r="H292">
        <v>25</v>
      </c>
      <c r="I292">
        <v>25</v>
      </c>
    </row>
    <row r="293" spans="1:9" x14ac:dyDescent="0.3">
      <c r="A293">
        <v>309</v>
      </c>
      <c r="B293" s="1">
        <v>45283</v>
      </c>
      <c r="C293" t="s">
        <v>322</v>
      </c>
      <c r="D293" t="s">
        <v>13</v>
      </c>
      <c r="E293">
        <v>26</v>
      </c>
      <c r="F293" t="s">
        <v>11</v>
      </c>
      <c r="G293">
        <v>1</v>
      </c>
      <c r="H293">
        <v>25</v>
      </c>
      <c r="I293">
        <v>25</v>
      </c>
    </row>
    <row r="294" spans="1:9" x14ac:dyDescent="0.3">
      <c r="A294">
        <v>310</v>
      </c>
      <c r="B294" s="1">
        <v>45211</v>
      </c>
      <c r="C294" t="s">
        <v>323</v>
      </c>
      <c r="D294" t="s">
        <v>13</v>
      </c>
      <c r="E294">
        <v>28</v>
      </c>
      <c r="F294" t="s">
        <v>11</v>
      </c>
      <c r="G294">
        <v>1</v>
      </c>
      <c r="H294">
        <v>25</v>
      </c>
      <c r="I294">
        <v>25</v>
      </c>
    </row>
    <row r="295" spans="1:9" x14ac:dyDescent="0.3">
      <c r="A295">
        <v>397</v>
      </c>
      <c r="B295" s="1">
        <v>44995</v>
      </c>
      <c r="C295" t="s">
        <v>410</v>
      </c>
      <c r="D295" t="s">
        <v>13</v>
      </c>
      <c r="E295">
        <v>30</v>
      </c>
      <c r="F295" t="s">
        <v>11</v>
      </c>
      <c r="G295">
        <v>1</v>
      </c>
      <c r="H295">
        <v>25</v>
      </c>
      <c r="I295">
        <v>25</v>
      </c>
    </row>
    <row r="296" spans="1:9" x14ac:dyDescent="0.3">
      <c r="A296">
        <v>945</v>
      </c>
      <c r="B296" s="1">
        <v>44970</v>
      </c>
      <c r="C296" t="s">
        <v>958</v>
      </c>
      <c r="D296" t="s">
        <v>10</v>
      </c>
      <c r="E296">
        <v>30</v>
      </c>
      <c r="F296" t="s">
        <v>11</v>
      </c>
      <c r="G296">
        <v>1</v>
      </c>
      <c r="H296">
        <v>25</v>
      </c>
      <c r="I296">
        <v>25</v>
      </c>
    </row>
    <row r="297" spans="1:9" x14ac:dyDescent="0.3">
      <c r="A297">
        <v>739</v>
      </c>
      <c r="B297" s="1">
        <v>45259</v>
      </c>
      <c r="C297" t="s">
        <v>752</v>
      </c>
      <c r="D297" t="s">
        <v>10</v>
      </c>
      <c r="E297">
        <v>36</v>
      </c>
      <c r="F297" t="s">
        <v>11</v>
      </c>
      <c r="G297">
        <v>1</v>
      </c>
      <c r="H297">
        <v>25</v>
      </c>
      <c r="I297">
        <v>25</v>
      </c>
    </row>
    <row r="298" spans="1:9" x14ac:dyDescent="0.3">
      <c r="A298">
        <v>204</v>
      </c>
      <c r="B298" s="1">
        <v>45197</v>
      </c>
      <c r="C298" t="s">
        <v>217</v>
      </c>
      <c r="D298" t="s">
        <v>10</v>
      </c>
      <c r="E298">
        <v>39</v>
      </c>
      <c r="F298" t="s">
        <v>11</v>
      </c>
      <c r="G298">
        <v>1</v>
      </c>
      <c r="H298">
        <v>25</v>
      </c>
      <c r="I298">
        <v>25</v>
      </c>
    </row>
    <row r="299" spans="1:9" x14ac:dyDescent="0.3">
      <c r="A299">
        <v>232</v>
      </c>
      <c r="B299" s="1">
        <v>44963</v>
      </c>
      <c r="C299" t="s">
        <v>245</v>
      </c>
      <c r="D299" t="s">
        <v>13</v>
      </c>
      <c r="E299">
        <v>43</v>
      </c>
      <c r="F299" t="s">
        <v>11</v>
      </c>
      <c r="G299">
        <v>1</v>
      </c>
      <c r="H299">
        <v>25</v>
      </c>
      <c r="I299">
        <v>25</v>
      </c>
    </row>
    <row r="300" spans="1:9" x14ac:dyDescent="0.3">
      <c r="A300">
        <v>454</v>
      </c>
      <c r="B300" s="1">
        <v>44979</v>
      </c>
      <c r="C300" t="s">
        <v>467</v>
      </c>
      <c r="D300" t="s">
        <v>13</v>
      </c>
      <c r="E300">
        <v>46</v>
      </c>
      <c r="F300" t="s">
        <v>11</v>
      </c>
      <c r="G300">
        <v>1</v>
      </c>
      <c r="H300">
        <v>25</v>
      </c>
      <c r="I300">
        <v>25</v>
      </c>
    </row>
    <row r="301" spans="1:9" x14ac:dyDescent="0.3">
      <c r="A301">
        <v>825</v>
      </c>
      <c r="B301" s="1">
        <v>45164</v>
      </c>
      <c r="C301" t="s">
        <v>838</v>
      </c>
      <c r="D301" t="s">
        <v>13</v>
      </c>
      <c r="E301">
        <v>46</v>
      </c>
      <c r="F301" t="s">
        <v>11</v>
      </c>
      <c r="G301">
        <v>1</v>
      </c>
      <c r="H301">
        <v>25</v>
      </c>
      <c r="I301">
        <v>25</v>
      </c>
    </row>
    <row r="302" spans="1:9" x14ac:dyDescent="0.3">
      <c r="A302">
        <v>791</v>
      </c>
      <c r="B302" s="1">
        <v>45265</v>
      </c>
      <c r="C302" t="s">
        <v>804</v>
      </c>
      <c r="D302" t="s">
        <v>13</v>
      </c>
      <c r="E302">
        <v>51</v>
      </c>
      <c r="F302" t="s">
        <v>11</v>
      </c>
      <c r="G302">
        <v>1</v>
      </c>
      <c r="H302">
        <v>25</v>
      </c>
      <c r="I302">
        <v>25</v>
      </c>
    </row>
    <row r="303" spans="1:9" x14ac:dyDescent="0.3">
      <c r="A303">
        <v>230</v>
      </c>
      <c r="B303" s="1">
        <v>45039</v>
      </c>
      <c r="C303" t="s">
        <v>243</v>
      </c>
      <c r="D303" t="s">
        <v>10</v>
      </c>
      <c r="E303">
        <v>54</v>
      </c>
      <c r="F303" t="s">
        <v>11</v>
      </c>
      <c r="G303">
        <v>1</v>
      </c>
      <c r="H303">
        <v>25</v>
      </c>
      <c r="I303">
        <v>25</v>
      </c>
    </row>
    <row r="304" spans="1:9" x14ac:dyDescent="0.3">
      <c r="A304">
        <v>855</v>
      </c>
      <c r="B304" s="1">
        <v>45170</v>
      </c>
      <c r="C304" t="s">
        <v>868</v>
      </c>
      <c r="D304" t="s">
        <v>10</v>
      </c>
      <c r="E304">
        <v>54</v>
      </c>
      <c r="F304" t="s">
        <v>11</v>
      </c>
      <c r="G304">
        <v>1</v>
      </c>
      <c r="H304">
        <v>25</v>
      </c>
      <c r="I304">
        <v>25</v>
      </c>
    </row>
    <row r="305" spans="1:9" x14ac:dyDescent="0.3">
      <c r="A305">
        <v>512</v>
      </c>
      <c r="B305" s="1">
        <v>45237</v>
      </c>
      <c r="C305" t="s">
        <v>525</v>
      </c>
      <c r="D305" t="s">
        <v>13</v>
      </c>
      <c r="E305">
        <v>57</v>
      </c>
      <c r="F305" t="s">
        <v>11</v>
      </c>
      <c r="G305">
        <v>1</v>
      </c>
      <c r="H305">
        <v>25</v>
      </c>
      <c r="I305">
        <v>25</v>
      </c>
    </row>
    <row r="306" spans="1:9" x14ac:dyDescent="0.3">
      <c r="A306">
        <v>967</v>
      </c>
      <c r="B306" s="1">
        <v>45033</v>
      </c>
      <c r="C306" t="s">
        <v>980</v>
      </c>
      <c r="D306" t="s">
        <v>10</v>
      </c>
      <c r="E306">
        <v>62</v>
      </c>
      <c r="F306" t="s">
        <v>11</v>
      </c>
      <c r="G306">
        <v>1</v>
      </c>
      <c r="H306">
        <v>25</v>
      </c>
      <c r="I306">
        <v>25</v>
      </c>
    </row>
    <row r="307" spans="1:9" x14ac:dyDescent="0.3">
      <c r="A307">
        <v>191</v>
      </c>
      <c r="B307" s="1">
        <v>45217</v>
      </c>
      <c r="C307" t="s">
        <v>204</v>
      </c>
      <c r="D307" t="s">
        <v>10</v>
      </c>
      <c r="E307">
        <v>64</v>
      </c>
      <c r="F307" t="s">
        <v>11</v>
      </c>
      <c r="G307">
        <v>1</v>
      </c>
      <c r="H307">
        <v>25</v>
      </c>
      <c r="I307">
        <v>25</v>
      </c>
    </row>
    <row r="308" spans="1:9" x14ac:dyDescent="0.3">
      <c r="A308">
        <v>363</v>
      </c>
      <c r="B308" s="1">
        <v>45080</v>
      </c>
      <c r="C308" t="s">
        <v>376</v>
      </c>
      <c r="D308" t="s">
        <v>10</v>
      </c>
      <c r="E308">
        <v>64</v>
      </c>
      <c r="F308" t="s">
        <v>11</v>
      </c>
      <c r="G308">
        <v>1</v>
      </c>
      <c r="H308">
        <v>25</v>
      </c>
      <c r="I308">
        <v>25</v>
      </c>
    </row>
    <row r="309" spans="1:9" x14ac:dyDescent="0.3">
      <c r="A309">
        <v>595</v>
      </c>
      <c r="B309" s="1">
        <v>45239</v>
      </c>
      <c r="C309" t="s">
        <v>608</v>
      </c>
      <c r="D309" t="s">
        <v>13</v>
      </c>
      <c r="E309">
        <v>18</v>
      </c>
      <c r="F309" t="s">
        <v>14</v>
      </c>
      <c r="G309">
        <v>4</v>
      </c>
      <c r="H309">
        <v>500</v>
      </c>
      <c r="I309">
        <v>2000</v>
      </c>
    </row>
    <row r="310" spans="1:9" x14ac:dyDescent="0.3">
      <c r="A310">
        <v>420</v>
      </c>
      <c r="B310" s="1">
        <v>44949</v>
      </c>
      <c r="C310" t="s">
        <v>433</v>
      </c>
      <c r="D310" t="s">
        <v>13</v>
      </c>
      <c r="E310">
        <v>22</v>
      </c>
      <c r="F310" t="s">
        <v>14</v>
      </c>
      <c r="G310">
        <v>4</v>
      </c>
      <c r="H310">
        <v>500</v>
      </c>
      <c r="I310">
        <v>2000</v>
      </c>
    </row>
    <row r="311" spans="1:9" x14ac:dyDescent="0.3">
      <c r="A311">
        <v>269</v>
      </c>
      <c r="B311" s="1">
        <v>44958</v>
      </c>
      <c r="C311" t="s">
        <v>282</v>
      </c>
      <c r="D311" t="s">
        <v>10</v>
      </c>
      <c r="E311">
        <v>25</v>
      </c>
      <c r="F311" t="s">
        <v>14</v>
      </c>
      <c r="G311">
        <v>4</v>
      </c>
      <c r="H311">
        <v>500</v>
      </c>
      <c r="I311">
        <v>2000</v>
      </c>
    </row>
    <row r="312" spans="1:9" x14ac:dyDescent="0.3">
      <c r="A312">
        <v>626</v>
      </c>
      <c r="B312" s="1">
        <v>45198</v>
      </c>
      <c r="C312" t="s">
        <v>639</v>
      </c>
      <c r="D312" t="s">
        <v>13</v>
      </c>
      <c r="E312">
        <v>26</v>
      </c>
      <c r="F312" t="s">
        <v>14</v>
      </c>
      <c r="G312">
        <v>4</v>
      </c>
      <c r="H312">
        <v>500</v>
      </c>
      <c r="I312">
        <v>2000</v>
      </c>
    </row>
    <row r="313" spans="1:9" x14ac:dyDescent="0.3">
      <c r="A313">
        <v>476</v>
      </c>
      <c r="B313" s="1">
        <v>45167</v>
      </c>
      <c r="C313" t="s">
        <v>489</v>
      </c>
      <c r="D313" t="s">
        <v>13</v>
      </c>
      <c r="E313">
        <v>27</v>
      </c>
      <c r="F313" t="s">
        <v>14</v>
      </c>
      <c r="G313">
        <v>4</v>
      </c>
      <c r="H313">
        <v>500</v>
      </c>
      <c r="I313">
        <v>2000</v>
      </c>
    </row>
    <row r="314" spans="1:9" x14ac:dyDescent="0.3">
      <c r="A314">
        <v>572</v>
      </c>
      <c r="B314" s="1">
        <v>45036</v>
      </c>
      <c r="C314" t="s">
        <v>585</v>
      </c>
      <c r="D314" t="s">
        <v>10</v>
      </c>
      <c r="E314">
        <v>31</v>
      </c>
      <c r="F314" t="s">
        <v>14</v>
      </c>
      <c r="G314">
        <v>4</v>
      </c>
      <c r="H314">
        <v>500</v>
      </c>
      <c r="I314">
        <v>2000</v>
      </c>
    </row>
    <row r="315" spans="1:9" x14ac:dyDescent="0.3">
      <c r="A315">
        <v>124</v>
      </c>
      <c r="B315" s="1">
        <v>45226</v>
      </c>
      <c r="C315" t="s">
        <v>137</v>
      </c>
      <c r="D315" t="s">
        <v>10</v>
      </c>
      <c r="E315">
        <v>33</v>
      </c>
      <c r="F315" t="s">
        <v>14</v>
      </c>
      <c r="G315">
        <v>4</v>
      </c>
      <c r="H315">
        <v>500</v>
      </c>
      <c r="I315">
        <v>2000</v>
      </c>
    </row>
    <row r="316" spans="1:9" x14ac:dyDescent="0.3">
      <c r="A316">
        <v>166</v>
      </c>
      <c r="B316" s="1">
        <v>45018</v>
      </c>
      <c r="C316" t="s">
        <v>179</v>
      </c>
      <c r="D316" t="s">
        <v>10</v>
      </c>
      <c r="E316">
        <v>34</v>
      </c>
      <c r="F316" t="s">
        <v>14</v>
      </c>
      <c r="G316">
        <v>4</v>
      </c>
      <c r="H316">
        <v>500</v>
      </c>
      <c r="I316">
        <v>2000</v>
      </c>
    </row>
    <row r="317" spans="1:9" x14ac:dyDescent="0.3">
      <c r="A317">
        <v>342</v>
      </c>
      <c r="B317" s="1">
        <v>45223</v>
      </c>
      <c r="C317" t="s">
        <v>355</v>
      </c>
      <c r="D317" t="s">
        <v>13</v>
      </c>
      <c r="E317">
        <v>43</v>
      </c>
      <c r="F317" t="s">
        <v>14</v>
      </c>
      <c r="G317">
        <v>4</v>
      </c>
      <c r="H317">
        <v>500</v>
      </c>
      <c r="I317">
        <v>2000</v>
      </c>
    </row>
    <row r="318" spans="1:9" x14ac:dyDescent="0.3">
      <c r="A318">
        <v>487</v>
      </c>
      <c r="B318" s="1">
        <v>45131</v>
      </c>
      <c r="C318" t="s">
        <v>500</v>
      </c>
      <c r="D318" t="s">
        <v>10</v>
      </c>
      <c r="E318">
        <v>44</v>
      </c>
      <c r="F318" t="s">
        <v>14</v>
      </c>
      <c r="G318">
        <v>4</v>
      </c>
      <c r="H318">
        <v>500</v>
      </c>
      <c r="I318">
        <v>2000</v>
      </c>
    </row>
    <row r="319" spans="1:9" x14ac:dyDescent="0.3">
      <c r="A319">
        <v>664</v>
      </c>
      <c r="B319" s="1">
        <v>45288</v>
      </c>
      <c r="C319" t="s">
        <v>677</v>
      </c>
      <c r="D319" t="s">
        <v>13</v>
      </c>
      <c r="E319">
        <v>44</v>
      </c>
      <c r="F319" t="s">
        <v>14</v>
      </c>
      <c r="G319">
        <v>4</v>
      </c>
      <c r="H319">
        <v>500</v>
      </c>
      <c r="I319">
        <v>2000</v>
      </c>
    </row>
    <row r="320" spans="1:9" x14ac:dyDescent="0.3">
      <c r="A320">
        <v>253</v>
      </c>
      <c r="B320" s="1">
        <v>45169</v>
      </c>
      <c r="C320" t="s">
        <v>266</v>
      </c>
      <c r="D320" t="s">
        <v>13</v>
      </c>
      <c r="E320">
        <v>53</v>
      </c>
      <c r="F320" t="s">
        <v>14</v>
      </c>
      <c r="G320">
        <v>4</v>
      </c>
      <c r="H320">
        <v>500</v>
      </c>
      <c r="I320">
        <v>2000</v>
      </c>
    </row>
    <row r="321" spans="1:9" x14ac:dyDescent="0.3">
      <c r="A321">
        <v>731</v>
      </c>
      <c r="B321" s="1">
        <v>45056</v>
      </c>
      <c r="C321" t="s">
        <v>744</v>
      </c>
      <c r="D321" t="s">
        <v>10</v>
      </c>
      <c r="E321">
        <v>54</v>
      </c>
      <c r="F321" t="s">
        <v>14</v>
      </c>
      <c r="G321">
        <v>4</v>
      </c>
      <c r="H321">
        <v>500</v>
      </c>
      <c r="I321">
        <v>2000</v>
      </c>
    </row>
    <row r="322" spans="1:9" x14ac:dyDescent="0.3">
      <c r="A322">
        <v>789</v>
      </c>
      <c r="B322" s="1">
        <v>45199</v>
      </c>
      <c r="C322" t="s">
        <v>802</v>
      </c>
      <c r="D322" t="s">
        <v>13</v>
      </c>
      <c r="E322">
        <v>61</v>
      </c>
      <c r="F322" t="s">
        <v>14</v>
      </c>
      <c r="G322">
        <v>4</v>
      </c>
      <c r="H322">
        <v>500</v>
      </c>
      <c r="I322">
        <v>2000</v>
      </c>
    </row>
    <row r="323" spans="1:9" x14ac:dyDescent="0.3">
      <c r="A323">
        <v>547</v>
      </c>
      <c r="B323" s="1">
        <v>44992</v>
      </c>
      <c r="C323" t="s">
        <v>560</v>
      </c>
      <c r="D323" t="s">
        <v>10</v>
      </c>
      <c r="E323">
        <v>63</v>
      </c>
      <c r="F323" t="s">
        <v>14</v>
      </c>
      <c r="G323">
        <v>4</v>
      </c>
      <c r="H323">
        <v>500</v>
      </c>
      <c r="I323">
        <v>2000</v>
      </c>
    </row>
    <row r="324" spans="1:9" x14ac:dyDescent="0.3">
      <c r="A324">
        <v>561</v>
      </c>
      <c r="B324" s="1">
        <v>45073</v>
      </c>
      <c r="C324" t="s">
        <v>574</v>
      </c>
      <c r="D324" t="s">
        <v>13</v>
      </c>
      <c r="E324">
        <v>64</v>
      </c>
      <c r="F324" t="s">
        <v>14</v>
      </c>
      <c r="G324">
        <v>4</v>
      </c>
      <c r="H324">
        <v>500</v>
      </c>
      <c r="I324">
        <v>2000</v>
      </c>
    </row>
    <row r="325" spans="1:9" x14ac:dyDescent="0.3">
      <c r="A325">
        <v>735</v>
      </c>
      <c r="B325" s="1">
        <v>45203</v>
      </c>
      <c r="C325" t="s">
        <v>748</v>
      </c>
      <c r="D325" t="s">
        <v>13</v>
      </c>
      <c r="E325">
        <v>64</v>
      </c>
      <c r="F325" t="s">
        <v>14</v>
      </c>
      <c r="G325">
        <v>4</v>
      </c>
      <c r="H325">
        <v>500</v>
      </c>
      <c r="I325">
        <v>2000</v>
      </c>
    </row>
    <row r="326" spans="1:9" x14ac:dyDescent="0.3">
      <c r="A326">
        <v>16</v>
      </c>
      <c r="B326" s="1">
        <v>44974</v>
      </c>
      <c r="C326" t="s">
        <v>29</v>
      </c>
      <c r="D326" t="s">
        <v>10</v>
      </c>
      <c r="E326">
        <v>19</v>
      </c>
      <c r="F326" t="s">
        <v>14</v>
      </c>
      <c r="G326">
        <v>3</v>
      </c>
      <c r="H326">
        <v>500</v>
      </c>
      <c r="I326">
        <v>1500</v>
      </c>
    </row>
    <row r="327" spans="1:9" x14ac:dyDescent="0.3">
      <c r="A327">
        <v>212</v>
      </c>
      <c r="B327" s="1">
        <v>45086</v>
      </c>
      <c r="C327" t="s">
        <v>225</v>
      </c>
      <c r="D327" t="s">
        <v>10</v>
      </c>
      <c r="E327">
        <v>21</v>
      </c>
      <c r="F327" t="s">
        <v>14</v>
      </c>
      <c r="G327">
        <v>3</v>
      </c>
      <c r="H327">
        <v>500</v>
      </c>
      <c r="I327">
        <v>1500</v>
      </c>
    </row>
    <row r="328" spans="1:9" x14ac:dyDescent="0.3">
      <c r="A328">
        <v>474</v>
      </c>
      <c r="B328" s="1">
        <v>45122</v>
      </c>
      <c r="C328" t="s">
        <v>487</v>
      </c>
      <c r="D328" t="s">
        <v>13</v>
      </c>
      <c r="E328">
        <v>26</v>
      </c>
      <c r="F328" t="s">
        <v>14</v>
      </c>
      <c r="G328">
        <v>3</v>
      </c>
      <c r="H328">
        <v>500</v>
      </c>
      <c r="I328">
        <v>1500</v>
      </c>
    </row>
    <row r="329" spans="1:9" x14ac:dyDescent="0.3">
      <c r="A329">
        <v>956</v>
      </c>
      <c r="B329" s="1">
        <v>45157</v>
      </c>
      <c r="C329" t="s">
        <v>969</v>
      </c>
      <c r="D329" t="s">
        <v>10</v>
      </c>
      <c r="E329">
        <v>30</v>
      </c>
      <c r="F329" t="s">
        <v>14</v>
      </c>
      <c r="G329">
        <v>3</v>
      </c>
      <c r="H329">
        <v>500</v>
      </c>
      <c r="I329">
        <v>1500</v>
      </c>
    </row>
    <row r="330" spans="1:9" x14ac:dyDescent="0.3">
      <c r="A330">
        <v>580</v>
      </c>
      <c r="B330" s="1">
        <v>45266</v>
      </c>
      <c r="C330" t="s">
        <v>593</v>
      </c>
      <c r="D330" t="s">
        <v>13</v>
      </c>
      <c r="E330">
        <v>31</v>
      </c>
      <c r="F330" t="s">
        <v>14</v>
      </c>
      <c r="G330">
        <v>3</v>
      </c>
      <c r="H330">
        <v>500</v>
      </c>
      <c r="I330">
        <v>1500</v>
      </c>
    </row>
    <row r="331" spans="1:9" x14ac:dyDescent="0.3">
      <c r="A331">
        <v>112</v>
      </c>
      <c r="B331" s="1">
        <v>45262</v>
      </c>
      <c r="C331" t="s">
        <v>125</v>
      </c>
      <c r="D331" t="s">
        <v>10</v>
      </c>
      <c r="E331">
        <v>37</v>
      </c>
      <c r="F331" t="s">
        <v>14</v>
      </c>
      <c r="G331">
        <v>3</v>
      </c>
      <c r="H331">
        <v>500</v>
      </c>
      <c r="I331">
        <v>1500</v>
      </c>
    </row>
    <row r="332" spans="1:9" x14ac:dyDescent="0.3">
      <c r="A332">
        <v>280</v>
      </c>
      <c r="B332" s="1">
        <v>45020</v>
      </c>
      <c r="C332" t="s">
        <v>293</v>
      </c>
      <c r="D332" t="s">
        <v>13</v>
      </c>
      <c r="E332">
        <v>37</v>
      </c>
      <c r="F332" t="s">
        <v>14</v>
      </c>
      <c r="G332">
        <v>3</v>
      </c>
      <c r="H332">
        <v>500</v>
      </c>
      <c r="I332">
        <v>1500</v>
      </c>
    </row>
    <row r="333" spans="1:9" x14ac:dyDescent="0.3">
      <c r="A333">
        <v>421</v>
      </c>
      <c r="B333" s="1">
        <v>44928</v>
      </c>
      <c r="C333" t="s">
        <v>434</v>
      </c>
      <c r="D333" t="s">
        <v>13</v>
      </c>
      <c r="E333">
        <v>37</v>
      </c>
      <c r="F333" t="s">
        <v>14</v>
      </c>
      <c r="G333">
        <v>3</v>
      </c>
      <c r="H333">
        <v>500</v>
      </c>
      <c r="I333">
        <v>1500</v>
      </c>
    </row>
    <row r="334" spans="1:9" x14ac:dyDescent="0.3">
      <c r="A334">
        <v>673</v>
      </c>
      <c r="B334" s="1">
        <v>44958</v>
      </c>
      <c r="C334" t="s">
        <v>686</v>
      </c>
      <c r="D334" t="s">
        <v>13</v>
      </c>
      <c r="E334">
        <v>43</v>
      </c>
      <c r="F334" t="s">
        <v>14</v>
      </c>
      <c r="G334">
        <v>3</v>
      </c>
      <c r="H334">
        <v>500</v>
      </c>
      <c r="I334">
        <v>1500</v>
      </c>
    </row>
    <row r="335" spans="1:9" x14ac:dyDescent="0.3">
      <c r="A335">
        <v>78</v>
      </c>
      <c r="B335" s="1">
        <v>45108</v>
      </c>
      <c r="C335" t="s">
        <v>91</v>
      </c>
      <c r="D335" t="s">
        <v>13</v>
      </c>
      <c r="E335">
        <v>47</v>
      </c>
      <c r="F335" t="s">
        <v>14</v>
      </c>
      <c r="G335">
        <v>3</v>
      </c>
      <c r="H335">
        <v>500</v>
      </c>
      <c r="I335">
        <v>1500</v>
      </c>
    </row>
    <row r="336" spans="1:9" x14ac:dyDescent="0.3">
      <c r="A336">
        <v>452</v>
      </c>
      <c r="B336" s="1">
        <v>45054</v>
      </c>
      <c r="C336" t="s">
        <v>465</v>
      </c>
      <c r="D336" t="s">
        <v>13</v>
      </c>
      <c r="E336">
        <v>48</v>
      </c>
      <c r="F336" t="s">
        <v>14</v>
      </c>
      <c r="G336">
        <v>3</v>
      </c>
      <c r="H336">
        <v>500</v>
      </c>
      <c r="I336">
        <v>1500</v>
      </c>
    </row>
    <row r="337" spans="1:9" x14ac:dyDescent="0.3">
      <c r="A337">
        <v>115</v>
      </c>
      <c r="B337" s="1">
        <v>45256</v>
      </c>
      <c r="C337" t="s">
        <v>128</v>
      </c>
      <c r="D337" t="s">
        <v>10</v>
      </c>
      <c r="E337">
        <v>51</v>
      </c>
      <c r="F337" t="s">
        <v>14</v>
      </c>
      <c r="G337">
        <v>3</v>
      </c>
      <c r="H337">
        <v>500</v>
      </c>
      <c r="I337">
        <v>1500</v>
      </c>
    </row>
    <row r="338" spans="1:9" x14ac:dyDescent="0.3">
      <c r="A338">
        <v>942</v>
      </c>
      <c r="B338" s="1">
        <v>45003</v>
      </c>
      <c r="C338" t="s">
        <v>955</v>
      </c>
      <c r="D338" t="s">
        <v>10</v>
      </c>
      <c r="E338">
        <v>51</v>
      </c>
      <c r="F338" t="s">
        <v>14</v>
      </c>
      <c r="G338">
        <v>3</v>
      </c>
      <c r="H338">
        <v>500</v>
      </c>
      <c r="I338">
        <v>1500</v>
      </c>
    </row>
    <row r="339" spans="1:9" x14ac:dyDescent="0.3">
      <c r="A339">
        <v>215</v>
      </c>
      <c r="B339" s="1">
        <v>45259</v>
      </c>
      <c r="C339" t="s">
        <v>228</v>
      </c>
      <c r="D339" t="s">
        <v>10</v>
      </c>
      <c r="E339">
        <v>58</v>
      </c>
      <c r="F339" t="s">
        <v>14</v>
      </c>
      <c r="G339">
        <v>3</v>
      </c>
      <c r="H339">
        <v>500</v>
      </c>
      <c r="I339">
        <v>1500</v>
      </c>
    </row>
    <row r="340" spans="1:9" x14ac:dyDescent="0.3">
      <c r="A340">
        <v>647</v>
      </c>
      <c r="B340" s="1">
        <v>45067</v>
      </c>
      <c r="C340" t="s">
        <v>660</v>
      </c>
      <c r="D340" t="s">
        <v>10</v>
      </c>
      <c r="E340">
        <v>59</v>
      </c>
      <c r="F340" t="s">
        <v>14</v>
      </c>
      <c r="G340">
        <v>3</v>
      </c>
      <c r="H340">
        <v>500</v>
      </c>
      <c r="I340">
        <v>1500</v>
      </c>
    </row>
    <row r="341" spans="1:9" x14ac:dyDescent="0.3">
      <c r="A341">
        <v>58</v>
      </c>
      <c r="B341" s="1">
        <v>45243</v>
      </c>
      <c r="C341" t="s">
        <v>71</v>
      </c>
      <c r="D341" t="s">
        <v>10</v>
      </c>
      <c r="E341">
        <v>18</v>
      </c>
      <c r="F341" t="s">
        <v>14</v>
      </c>
      <c r="G341">
        <v>4</v>
      </c>
      <c r="H341">
        <v>300</v>
      </c>
      <c r="I341">
        <v>1200</v>
      </c>
    </row>
    <row r="342" spans="1:9" x14ac:dyDescent="0.3">
      <c r="A342">
        <v>484</v>
      </c>
      <c r="B342" s="1">
        <v>44939</v>
      </c>
      <c r="C342" t="s">
        <v>497</v>
      </c>
      <c r="D342" t="s">
        <v>13</v>
      </c>
      <c r="E342">
        <v>19</v>
      </c>
      <c r="F342" t="s">
        <v>14</v>
      </c>
      <c r="G342">
        <v>4</v>
      </c>
      <c r="H342">
        <v>300</v>
      </c>
      <c r="I342">
        <v>1200</v>
      </c>
    </row>
    <row r="343" spans="1:9" x14ac:dyDescent="0.3">
      <c r="A343">
        <v>107</v>
      </c>
      <c r="B343" s="1">
        <v>44960</v>
      </c>
      <c r="C343" t="s">
        <v>120</v>
      </c>
      <c r="D343" t="s">
        <v>13</v>
      </c>
      <c r="E343">
        <v>21</v>
      </c>
      <c r="F343" t="s">
        <v>14</v>
      </c>
      <c r="G343">
        <v>4</v>
      </c>
      <c r="H343">
        <v>300</v>
      </c>
      <c r="I343">
        <v>1200</v>
      </c>
    </row>
    <row r="344" spans="1:9" x14ac:dyDescent="0.3">
      <c r="A344">
        <v>296</v>
      </c>
      <c r="B344" s="1">
        <v>45175</v>
      </c>
      <c r="C344" t="s">
        <v>309</v>
      </c>
      <c r="D344" t="s">
        <v>13</v>
      </c>
      <c r="E344">
        <v>22</v>
      </c>
      <c r="F344" t="s">
        <v>14</v>
      </c>
      <c r="G344">
        <v>4</v>
      </c>
      <c r="H344">
        <v>300</v>
      </c>
      <c r="I344">
        <v>1200</v>
      </c>
    </row>
    <row r="345" spans="1:9" x14ac:dyDescent="0.3">
      <c r="A345">
        <v>663</v>
      </c>
      <c r="B345" s="1">
        <v>45005</v>
      </c>
      <c r="C345" t="s">
        <v>676</v>
      </c>
      <c r="D345" t="s">
        <v>10</v>
      </c>
      <c r="E345">
        <v>23</v>
      </c>
      <c r="F345" t="s">
        <v>14</v>
      </c>
      <c r="G345">
        <v>4</v>
      </c>
      <c r="H345">
        <v>300</v>
      </c>
      <c r="I345">
        <v>1200</v>
      </c>
    </row>
    <row r="346" spans="1:9" x14ac:dyDescent="0.3">
      <c r="A346">
        <v>553</v>
      </c>
      <c r="B346" s="1">
        <v>45016</v>
      </c>
      <c r="C346" t="s">
        <v>566</v>
      </c>
      <c r="D346" t="s">
        <v>10</v>
      </c>
      <c r="E346">
        <v>24</v>
      </c>
      <c r="F346" t="s">
        <v>14</v>
      </c>
      <c r="G346">
        <v>4</v>
      </c>
      <c r="H346">
        <v>300</v>
      </c>
      <c r="I346">
        <v>1200</v>
      </c>
    </row>
    <row r="347" spans="1:9" x14ac:dyDescent="0.3">
      <c r="A347">
        <v>405</v>
      </c>
      <c r="B347" s="1">
        <v>45236</v>
      </c>
      <c r="C347" t="s">
        <v>418</v>
      </c>
      <c r="D347" t="s">
        <v>13</v>
      </c>
      <c r="E347">
        <v>25</v>
      </c>
      <c r="F347" t="s">
        <v>14</v>
      </c>
      <c r="G347">
        <v>4</v>
      </c>
      <c r="H347">
        <v>300</v>
      </c>
      <c r="I347">
        <v>1200</v>
      </c>
    </row>
    <row r="348" spans="1:9" x14ac:dyDescent="0.3">
      <c r="A348">
        <v>459</v>
      </c>
      <c r="B348" s="1">
        <v>45006</v>
      </c>
      <c r="C348" t="s">
        <v>472</v>
      </c>
      <c r="D348" t="s">
        <v>10</v>
      </c>
      <c r="E348">
        <v>28</v>
      </c>
      <c r="F348" t="s">
        <v>14</v>
      </c>
      <c r="G348">
        <v>4</v>
      </c>
      <c r="H348">
        <v>300</v>
      </c>
      <c r="I348">
        <v>1200</v>
      </c>
    </row>
    <row r="349" spans="1:9" x14ac:dyDescent="0.3">
      <c r="A349">
        <v>482</v>
      </c>
      <c r="B349" s="1">
        <v>45043</v>
      </c>
      <c r="C349" t="s">
        <v>495</v>
      </c>
      <c r="D349" t="s">
        <v>13</v>
      </c>
      <c r="E349">
        <v>28</v>
      </c>
      <c r="F349" t="s">
        <v>14</v>
      </c>
      <c r="G349">
        <v>4</v>
      </c>
      <c r="H349">
        <v>300</v>
      </c>
      <c r="I349">
        <v>1200</v>
      </c>
    </row>
    <row r="350" spans="1:9" x14ac:dyDescent="0.3">
      <c r="A350">
        <v>729</v>
      </c>
      <c r="B350" s="1">
        <v>45069</v>
      </c>
      <c r="C350" t="s">
        <v>742</v>
      </c>
      <c r="D350" t="s">
        <v>10</v>
      </c>
      <c r="E350">
        <v>29</v>
      </c>
      <c r="F350" t="s">
        <v>14</v>
      </c>
      <c r="G350">
        <v>4</v>
      </c>
      <c r="H350">
        <v>300</v>
      </c>
      <c r="I350">
        <v>1200</v>
      </c>
    </row>
    <row r="351" spans="1:9" x14ac:dyDescent="0.3">
      <c r="A351">
        <v>800</v>
      </c>
      <c r="B351" s="1">
        <v>44981</v>
      </c>
      <c r="C351" t="s">
        <v>813</v>
      </c>
      <c r="D351" t="s">
        <v>10</v>
      </c>
      <c r="E351">
        <v>32</v>
      </c>
      <c r="F351" t="s">
        <v>14</v>
      </c>
      <c r="G351">
        <v>4</v>
      </c>
      <c r="H351">
        <v>300</v>
      </c>
      <c r="I351">
        <v>1200</v>
      </c>
    </row>
    <row r="352" spans="1:9" x14ac:dyDescent="0.3">
      <c r="A352">
        <v>202</v>
      </c>
      <c r="B352" s="1">
        <v>45011</v>
      </c>
      <c r="C352" t="s">
        <v>215</v>
      </c>
      <c r="D352" t="s">
        <v>13</v>
      </c>
      <c r="E352">
        <v>34</v>
      </c>
      <c r="F352" t="s">
        <v>14</v>
      </c>
      <c r="G352">
        <v>4</v>
      </c>
      <c r="H352">
        <v>300</v>
      </c>
      <c r="I352">
        <v>1200</v>
      </c>
    </row>
    <row r="353" spans="1:9" x14ac:dyDescent="0.3">
      <c r="A353">
        <v>928</v>
      </c>
      <c r="B353" s="1">
        <v>45021</v>
      </c>
      <c r="C353" t="s">
        <v>941</v>
      </c>
      <c r="D353" t="s">
        <v>13</v>
      </c>
      <c r="E353">
        <v>35</v>
      </c>
      <c r="F353" t="s">
        <v>14</v>
      </c>
      <c r="G353">
        <v>4</v>
      </c>
      <c r="H353">
        <v>300</v>
      </c>
      <c r="I353">
        <v>1200</v>
      </c>
    </row>
    <row r="354" spans="1:9" x14ac:dyDescent="0.3">
      <c r="A354">
        <v>340</v>
      </c>
      <c r="B354" s="1">
        <v>45218</v>
      </c>
      <c r="C354" t="s">
        <v>353</v>
      </c>
      <c r="D354" t="s">
        <v>13</v>
      </c>
      <c r="E354">
        <v>36</v>
      </c>
      <c r="F354" t="s">
        <v>14</v>
      </c>
      <c r="G354">
        <v>4</v>
      </c>
      <c r="H354">
        <v>300</v>
      </c>
      <c r="I354">
        <v>1200</v>
      </c>
    </row>
    <row r="355" spans="1:9" x14ac:dyDescent="0.3">
      <c r="A355">
        <v>559</v>
      </c>
      <c r="B355" s="1">
        <v>44927</v>
      </c>
      <c r="C355" t="s">
        <v>572</v>
      </c>
      <c r="D355" t="s">
        <v>13</v>
      </c>
      <c r="E355">
        <v>40</v>
      </c>
      <c r="F355" t="s">
        <v>14</v>
      </c>
      <c r="G355">
        <v>4</v>
      </c>
      <c r="H355">
        <v>300</v>
      </c>
      <c r="I355">
        <v>1200</v>
      </c>
    </row>
    <row r="356" spans="1:9" x14ac:dyDescent="0.3">
      <c r="A356">
        <v>726</v>
      </c>
      <c r="B356" s="1">
        <v>45094</v>
      </c>
      <c r="C356" t="s">
        <v>739</v>
      </c>
      <c r="D356" t="s">
        <v>10</v>
      </c>
      <c r="E356">
        <v>47</v>
      </c>
      <c r="F356" t="s">
        <v>14</v>
      </c>
      <c r="G356">
        <v>4</v>
      </c>
      <c r="H356">
        <v>300</v>
      </c>
      <c r="I356">
        <v>1200</v>
      </c>
    </row>
    <row r="357" spans="1:9" x14ac:dyDescent="0.3">
      <c r="A357">
        <v>368</v>
      </c>
      <c r="B357" s="1">
        <v>45161</v>
      </c>
      <c r="C357" t="s">
        <v>381</v>
      </c>
      <c r="D357" t="s">
        <v>13</v>
      </c>
      <c r="E357">
        <v>56</v>
      </c>
      <c r="F357" t="s">
        <v>14</v>
      </c>
      <c r="G357">
        <v>4</v>
      </c>
      <c r="H357">
        <v>300</v>
      </c>
      <c r="I357">
        <v>1200</v>
      </c>
    </row>
    <row r="358" spans="1:9" x14ac:dyDescent="0.3">
      <c r="A358">
        <v>943</v>
      </c>
      <c r="B358" s="1">
        <v>45215</v>
      </c>
      <c r="C358" t="s">
        <v>956</v>
      </c>
      <c r="D358" t="s">
        <v>13</v>
      </c>
      <c r="E358">
        <v>57</v>
      </c>
      <c r="F358" t="s">
        <v>14</v>
      </c>
      <c r="G358">
        <v>4</v>
      </c>
      <c r="H358">
        <v>300</v>
      </c>
      <c r="I358">
        <v>1200</v>
      </c>
    </row>
    <row r="359" spans="1:9" x14ac:dyDescent="0.3">
      <c r="A359">
        <v>165</v>
      </c>
      <c r="B359" s="1">
        <v>45183</v>
      </c>
      <c r="C359" t="s">
        <v>178</v>
      </c>
      <c r="D359" t="s">
        <v>13</v>
      </c>
      <c r="E359">
        <v>60</v>
      </c>
      <c r="F359" t="s">
        <v>14</v>
      </c>
      <c r="G359">
        <v>4</v>
      </c>
      <c r="H359">
        <v>300</v>
      </c>
      <c r="I359">
        <v>1200</v>
      </c>
    </row>
    <row r="360" spans="1:9" x14ac:dyDescent="0.3">
      <c r="A360">
        <v>716</v>
      </c>
      <c r="B360" s="1">
        <v>45146</v>
      </c>
      <c r="C360" t="s">
        <v>729</v>
      </c>
      <c r="D360" t="s">
        <v>13</v>
      </c>
      <c r="E360">
        <v>60</v>
      </c>
      <c r="F360" t="s">
        <v>14</v>
      </c>
      <c r="G360">
        <v>4</v>
      </c>
      <c r="H360">
        <v>300</v>
      </c>
      <c r="I360">
        <v>1200</v>
      </c>
    </row>
    <row r="361" spans="1:9" x14ac:dyDescent="0.3">
      <c r="A361">
        <v>256</v>
      </c>
      <c r="B361" s="1">
        <v>44975</v>
      </c>
      <c r="C361" t="s">
        <v>269</v>
      </c>
      <c r="D361" t="s">
        <v>10</v>
      </c>
      <c r="E361">
        <v>23</v>
      </c>
      <c r="F361" t="s">
        <v>14</v>
      </c>
      <c r="G361">
        <v>2</v>
      </c>
      <c r="H361">
        <v>500</v>
      </c>
      <c r="I361">
        <v>1000</v>
      </c>
    </row>
    <row r="362" spans="1:9" x14ac:dyDescent="0.3">
      <c r="A362">
        <v>274</v>
      </c>
      <c r="B362" s="1">
        <v>45025</v>
      </c>
      <c r="C362" t="s">
        <v>287</v>
      </c>
      <c r="D362" t="s">
        <v>13</v>
      </c>
      <c r="E362">
        <v>23</v>
      </c>
      <c r="F362" t="s">
        <v>14</v>
      </c>
      <c r="G362">
        <v>2</v>
      </c>
      <c r="H362">
        <v>500</v>
      </c>
      <c r="I362">
        <v>1000</v>
      </c>
    </row>
    <row r="363" spans="1:9" x14ac:dyDescent="0.3">
      <c r="A363">
        <v>2</v>
      </c>
      <c r="B363" s="1">
        <v>44984</v>
      </c>
      <c r="C363" t="s">
        <v>12</v>
      </c>
      <c r="D363" t="s">
        <v>13</v>
      </c>
      <c r="E363">
        <v>26</v>
      </c>
      <c r="F363" t="s">
        <v>14</v>
      </c>
      <c r="G363">
        <v>2</v>
      </c>
      <c r="H363">
        <v>500</v>
      </c>
      <c r="I363">
        <v>1000</v>
      </c>
    </row>
    <row r="364" spans="1:9" x14ac:dyDescent="0.3">
      <c r="A364">
        <v>453</v>
      </c>
      <c r="B364" s="1">
        <v>45268</v>
      </c>
      <c r="C364" t="s">
        <v>466</v>
      </c>
      <c r="D364" t="s">
        <v>13</v>
      </c>
      <c r="E364">
        <v>26</v>
      </c>
      <c r="F364" t="s">
        <v>14</v>
      </c>
      <c r="G364">
        <v>2</v>
      </c>
      <c r="H364">
        <v>500</v>
      </c>
      <c r="I364">
        <v>1000</v>
      </c>
    </row>
    <row r="365" spans="1:9" x14ac:dyDescent="0.3">
      <c r="A365">
        <v>684</v>
      </c>
      <c r="B365" s="1">
        <v>45107</v>
      </c>
      <c r="C365" t="s">
        <v>697</v>
      </c>
      <c r="D365" t="s">
        <v>13</v>
      </c>
      <c r="E365">
        <v>28</v>
      </c>
      <c r="F365" t="s">
        <v>14</v>
      </c>
      <c r="G365">
        <v>2</v>
      </c>
      <c r="H365">
        <v>500</v>
      </c>
      <c r="I365">
        <v>1000</v>
      </c>
    </row>
    <row r="366" spans="1:9" x14ac:dyDescent="0.3">
      <c r="A366">
        <v>275</v>
      </c>
      <c r="B366" s="1">
        <v>45024</v>
      </c>
      <c r="C366" t="s">
        <v>288</v>
      </c>
      <c r="D366" t="s">
        <v>10</v>
      </c>
      <c r="E366">
        <v>43</v>
      </c>
      <c r="F366" t="s">
        <v>14</v>
      </c>
      <c r="G366">
        <v>2</v>
      </c>
      <c r="H366">
        <v>500</v>
      </c>
      <c r="I366">
        <v>1000</v>
      </c>
    </row>
    <row r="367" spans="1:9" x14ac:dyDescent="0.3">
      <c r="A367">
        <v>534</v>
      </c>
      <c r="B367" s="1">
        <v>45087</v>
      </c>
      <c r="C367" t="s">
        <v>547</v>
      </c>
      <c r="D367" t="s">
        <v>10</v>
      </c>
      <c r="E367">
        <v>45</v>
      </c>
      <c r="F367" t="s">
        <v>14</v>
      </c>
      <c r="G367">
        <v>2</v>
      </c>
      <c r="H367">
        <v>500</v>
      </c>
      <c r="I367">
        <v>1000</v>
      </c>
    </row>
    <row r="368" spans="1:9" x14ac:dyDescent="0.3">
      <c r="A368">
        <v>986</v>
      </c>
      <c r="B368" s="1">
        <v>44943</v>
      </c>
      <c r="C368" t="s">
        <v>999</v>
      </c>
      <c r="D368" t="s">
        <v>13</v>
      </c>
      <c r="E368">
        <v>49</v>
      </c>
      <c r="F368" t="s">
        <v>14</v>
      </c>
      <c r="G368">
        <v>2</v>
      </c>
      <c r="H368">
        <v>500</v>
      </c>
      <c r="I368">
        <v>1000</v>
      </c>
    </row>
    <row r="369" spans="1:9" x14ac:dyDescent="0.3">
      <c r="A369">
        <v>382</v>
      </c>
      <c r="B369" s="1">
        <v>45072</v>
      </c>
      <c r="C369" t="s">
        <v>395</v>
      </c>
      <c r="D369" t="s">
        <v>13</v>
      </c>
      <c r="E369">
        <v>53</v>
      </c>
      <c r="F369" t="s">
        <v>14</v>
      </c>
      <c r="G369">
        <v>2</v>
      </c>
      <c r="H369">
        <v>500</v>
      </c>
      <c r="I369">
        <v>1000</v>
      </c>
    </row>
    <row r="370" spans="1:9" x14ac:dyDescent="0.3">
      <c r="A370">
        <v>203</v>
      </c>
      <c r="B370" s="1">
        <v>45062</v>
      </c>
      <c r="C370" t="s">
        <v>216</v>
      </c>
      <c r="D370" t="s">
        <v>10</v>
      </c>
      <c r="E370">
        <v>56</v>
      </c>
      <c r="F370" t="s">
        <v>14</v>
      </c>
      <c r="G370">
        <v>2</v>
      </c>
      <c r="H370">
        <v>500</v>
      </c>
      <c r="I370">
        <v>1000</v>
      </c>
    </row>
    <row r="371" spans="1:9" x14ac:dyDescent="0.3">
      <c r="A371">
        <v>470</v>
      </c>
      <c r="B371" s="1">
        <v>45063</v>
      </c>
      <c r="C371" t="s">
        <v>483</v>
      </c>
      <c r="D371" t="s">
        <v>13</v>
      </c>
      <c r="E371">
        <v>57</v>
      </c>
      <c r="F371" t="s">
        <v>14</v>
      </c>
      <c r="G371">
        <v>2</v>
      </c>
      <c r="H371">
        <v>500</v>
      </c>
      <c r="I371">
        <v>1000</v>
      </c>
    </row>
    <row r="372" spans="1:9" x14ac:dyDescent="0.3">
      <c r="A372">
        <v>346</v>
      </c>
      <c r="B372" s="1">
        <v>44968</v>
      </c>
      <c r="C372" t="s">
        <v>359</v>
      </c>
      <c r="D372" t="s">
        <v>10</v>
      </c>
      <c r="E372">
        <v>59</v>
      </c>
      <c r="F372" t="s">
        <v>14</v>
      </c>
      <c r="G372">
        <v>2</v>
      </c>
      <c r="H372">
        <v>500</v>
      </c>
      <c r="I372">
        <v>1000</v>
      </c>
    </row>
    <row r="373" spans="1:9" x14ac:dyDescent="0.3">
      <c r="A373">
        <v>20</v>
      </c>
      <c r="B373" s="1">
        <v>45235</v>
      </c>
      <c r="C373" t="s">
        <v>33</v>
      </c>
      <c r="D373" t="s">
        <v>10</v>
      </c>
      <c r="E373">
        <v>22</v>
      </c>
      <c r="F373" t="s">
        <v>14</v>
      </c>
      <c r="G373">
        <v>3</v>
      </c>
      <c r="H373">
        <v>300</v>
      </c>
      <c r="I373">
        <v>900</v>
      </c>
    </row>
    <row r="374" spans="1:9" x14ac:dyDescent="0.3">
      <c r="A374">
        <v>42</v>
      </c>
      <c r="B374" s="1">
        <v>44974</v>
      </c>
      <c r="C374" t="s">
        <v>55</v>
      </c>
      <c r="D374" t="s">
        <v>10</v>
      </c>
      <c r="E374">
        <v>22</v>
      </c>
      <c r="F374" t="s">
        <v>14</v>
      </c>
      <c r="G374">
        <v>3</v>
      </c>
      <c r="H374">
        <v>300</v>
      </c>
      <c r="I374">
        <v>900</v>
      </c>
    </row>
    <row r="375" spans="1:9" x14ac:dyDescent="0.3">
      <c r="A375">
        <v>964</v>
      </c>
      <c r="B375" s="1">
        <v>44957</v>
      </c>
      <c r="C375" t="s">
        <v>977</v>
      </c>
      <c r="D375" t="s">
        <v>10</v>
      </c>
      <c r="E375">
        <v>24</v>
      </c>
      <c r="F375" t="s">
        <v>14</v>
      </c>
      <c r="G375">
        <v>3</v>
      </c>
      <c r="H375">
        <v>300</v>
      </c>
      <c r="I375">
        <v>900</v>
      </c>
    </row>
    <row r="376" spans="1:9" x14ac:dyDescent="0.3">
      <c r="A376">
        <v>567</v>
      </c>
      <c r="B376" s="1">
        <v>45091</v>
      </c>
      <c r="C376" t="s">
        <v>580</v>
      </c>
      <c r="D376" t="s">
        <v>13</v>
      </c>
      <c r="E376">
        <v>25</v>
      </c>
      <c r="F376" t="s">
        <v>14</v>
      </c>
      <c r="G376">
        <v>3</v>
      </c>
      <c r="H376">
        <v>300</v>
      </c>
      <c r="I376">
        <v>900</v>
      </c>
    </row>
    <row r="377" spans="1:9" x14ac:dyDescent="0.3">
      <c r="A377">
        <v>56</v>
      </c>
      <c r="B377" s="1">
        <v>45077</v>
      </c>
      <c r="C377" t="s">
        <v>69</v>
      </c>
      <c r="D377" t="s">
        <v>13</v>
      </c>
      <c r="E377">
        <v>26</v>
      </c>
      <c r="F377" t="s">
        <v>14</v>
      </c>
      <c r="G377">
        <v>3</v>
      </c>
      <c r="H377">
        <v>300</v>
      </c>
      <c r="I377">
        <v>900</v>
      </c>
    </row>
    <row r="378" spans="1:9" x14ac:dyDescent="0.3">
      <c r="A378">
        <v>248</v>
      </c>
      <c r="B378" s="1">
        <v>44994</v>
      </c>
      <c r="C378" t="s">
        <v>261</v>
      </c>
      <c r="D378" t="s">
        <v>10</v>
      </c>
      <c r="E378">
        <v>26</v>
      </c>
      <c r="F378" t="s">
        <v>14</v>
      </c>
      <c r="G378">
        <v>3</v>
      </c>
      <c r="H378">
        <v>300</v>
      </c>
      <c r="I378">
        <v>900</v>
      </c>
    </row>
    <row r="379" spans="1:9" x14ac:dyDescent="0.3">
      <c r="A379">
        <v>110</v>
      </c>
      <c r="B379" s="1">
        <v>45088</v>
      </c>
      <c r="C379" t="s">
        <v>123</v>
      </c>
      <c r="D379" t="s">
        <v>10</v>
      </c>
      <c r="E379">
        <v>27</v>
      </c>
      <c r="F379" t="s">
        <v>14</v>
      </c>
      <c r="G379">
        <v>3</v>
      </c>
      <c r="H379">
        <v>300</v>
      </c>
      <c r="I379">
        <v>900</v>
      </c>
    </row>
    <row r="380" spans="1:9" x14ac:dyDescent="0.3">
      <c r="A380">
        <v>987</v>
      </c>
      <c r="B380" s="1">
        <v>45045</v>
      </c>
      <c r="C380" t="s">
        <v>1000</v>
      </c>
      <c r="D380" t="s">
        <v>13</v>
      </c>
      <c r="E380">
        <v>30</v>
      </c>
      <c r="F380" t="s">
        <v>14</v>
      </c>
      <c r="G380">
        <v>3</v>
      </c>
      <c r="H380">
        <v>300</v>
      </c>
      <c r="I380">
        <v>900</v>
      </c>
    </row>
    <row r="381" spans="1:9" x14ac:dyDescent="0.3">
      <c r="A381">
        <v>196</v>
      </c>
      <c r="B381" s="1">
        <v>45199</v>
      </c>
      <c r="C381" t="s">
        <v>209</v>
      </c>
      <c r="D381" t="s">
        <v>13</v>
      </c>
      <c r="E381">
        <v>32</v>
      </c>
      <c r="F381" t="s">
        <v>14</v>
      </c>
      <c r="G381">
        <v>3</v>
      </c>
      <c r="H381">
        <v>300</v>
      </c>
      <c r="I381">
        <v>900</v>
      </c>
    </row>
    <row r="382" spans="1:9" x14ac:dyDescent="0.3">
      <c r="A382">
        <v>582</v>
      </c>
      <c r="B382" s="1">
        <v>45244</v>
      </c>
      <c r="C382" t="s">
        <v>595</v>
      </c>
      <c r="D382" t="s">
        <v>10</v>
      </c>
      <c r="E382">
        <v>35</v>
      </c>
      <c r="F382" t="s">
        <v>14</v>
      </c>
      <c r="G382">
        <v>3</v>
      </c>
      <c r="H382">
        <v>300</v>
      </c>
      <c r="I382">
        <v>900</v>
      </c>
    </row>
    <row r="383" spans="1:9" x14ac:dyDescent="0.3">
      <c r="A383">
        <v>590</v>
      </c>
      <c r="B383" s="1">
        <v>45002</v>
      </c>
      <c r="C383" t="s">
        <v>603</v>
      </c>
      <c r="D383" t="s">
        <v>10</v>
      </c>
      <c r="E383">
        <v>36</v>
      </c>
      <c r="F383" t="s">
        <v>14</v>
      </c>
      <c r="G383">
        <v>3</v>
      </c>
      <c r="H383">
        <v>300</v>
      </c>
      <c r="I383">
        <v>900</v>
      </c>
    </row>
    <row r="384" spans="1:9" x14ac:dyDescent="0.3">
      <c r="A384">
        <v>950</v>
      </c>
      <c r="B384" s="1">
        <v>45237</v>
      </c>
      <c r="C384" t="s">
        <v>963</v>
      </c>
      <c r="D384" t="s">
        <v>10</v>
      </c>
      <c r="E384">
        <v>36</v>
      </c>
      <c r="F384" t="s">
        <v>14</v>
      </c>
      <c r="G384">
        <v>3</v>
      </c>
      <c r="H384">
        <v>300</v>
      </c>
      <c r="I384">
        <v>900</v>
      </c>
    </row>
    <row r="385" spans="1:9" x14ac:dyDescent="0.3">
      <c r="A385">
        <v>550</v>
      </c>
      <c r="B385" s="1">
        <v>45267</v>
      </c>
      <c r="C385" t="s">
        <v>563</v>
      </c>
      <c r="D385" t="s">
        <v>10</v>
      </c>
      <c r="E385">
        <v>40</v>
      </c>
      <c r="F385" t="s">
        <v>14</v>
      </c>
      <c r="G385">
        <v>3</v>
      </c>
      <c r="H385">
        <v>300</v>
      </c>
      <c r="I385">
        <v>900</v>
      </c>
    </row>
    <row r="386" spans="1:9" x14ac:dyDescent="0.3">
      <c r="A386">
        <v>969</v>
      </c>
      <c r="B386" s="1">
        <v>45035</v>
      </c>
      <c r="C386" t="s">
        <v>982</v>
      </c>
      <c r="D386" t="s">
        <v>13</v>
      </c>
      <c r="E386">
        <v>40</v>
      </c>
      <c r="F386" t="s">
        <v>14</v>
      </c>
      <c r="G386">
        <v>3</v>
      </c>
      <c r="H386">
        <v>300</v>
      </c>
      <c r="I386">
        <v>900</v>
      </c>
    </row>
    <row r="387" spans="1:9" x14ac:dyDescent="0.3">
      <c r="A387">
        <v>180</v>
      </c>
      <c r="B387" s="1">
        <v>44927</v>
      </c>
      <c r="C387" t="s">
        <v>193</v>
      </c>
      <c r="D387" t="s">
        <v>10</v>
      </c>
      <c r="E387">
        <v>41</v>
      </c>
      <c r="F387" t="s">
        <v>14</v>
      </c>
      <c r="G387">
        <v>3</v>
      </c>
      <c r="H387">
        <v>300</v>
      </c>
      <c r="I387">
        <v>900</v>
      </c>
    </row>
    <row r="388" spans="1:9" x14ac:dyDescent="0.3">
      <c r="A388">
        <v>264</v>
      </c>
      <c r="B388" s="1">
        <v>44954</v>
      </c>
      <c r="C388" t="s">
        <v>277</v>
      </c>
      <c r="D388" t="s">
        <v>10</v>
      </c>
      <c r="E388">
        <v>47</v>
      </c>
      <c r="F388" t="s">
        <v>14</v>
      </c>
      <c r="G388">
        <v>3</v>
      </c>
      <c r="H388">
        <v>300</v>
      </c>
      <c r="I388">
        <v>900</v>
      </c>
    </row>
    <row r="389" spans="1:9" x14ac:dyDescent="0.3">
      <c r="A389">
        <v>968</v>
      </c>
      <c r="B389" s="1">
        <v>45247</v>
      </c>
      <c r="C389" t="s">
        <v>981</v>
      </c>
      <c r="D389" t="s">
        <v>13</v>
      </c>
      <c r="E389">
        <v>48</v>
      </c>
      <c r="F389" t="s">
        <v>14</v>
      </c>
      <c r="G389">
        <v>3</v>
      </c>
      <c r="H389">
        <v>300</v>
      </c>
      <c r="I389">
        <v>900</v>
      </c>
    </row>
    <row r="390" spans="1:9" x14ac:dyDescent="0.3">
      <c r="A390">
        <v>515</v>
      </c>
      <c r="B390" s="1">
        <v>45124</v>
      </c>
      <c r="C390" t="s">
        <v>528</v>
      </c>
      <c r="D390" t="s">
        <v>13</v>
      </c>
      <c r="E390">
        <v>49</v>
      </c>
      <c r="F390" t="s">
        <v>14</v>
      </c>
      <c r="G390">
        <v>3</v>
      </c>
      <c r="H390">
        <v>300</v>
      </c>
      <c r="I390">
        <v>900</v>
      </c>
    </row>
    <row r="391" spans="1:9" x14ac:dyDescent="0.3">
      <c r="A391">
        <v>171</v>
      </c>
      <c r="B391" s="1">
        <v>45254</v>
      </c>
      <c r="C391" t="s">
        <v>184</v>
      </c>
      <c r="D391" t="s">
        <v>13</v>
      </c>
      <c r="E391">
        <v>52</v>
      </c>
      <c r="F391" t="s">
        <v>14</v>
      </c>
      <c r="G391">
        <v>3</v>
      </c>
      <c r="H391">
        <v>300</v>
      </c>
      <c r="I391">
        <v>900</v>
      </c>
    </row>
    <row r="392" spans="1:9" x14ac:dyDescent="0.3">
      <c r="A392">
        <v>690</v>
      </c>
      <c r="B392" s="1">
        <v>45235</v>
      </c>
      <c r="C392" t="s">
        <v>703</v>
      </c>
      <c r="D392" t="s">
        <v>13</v>
      </c>
      <c r="E392">
        <v>52</v>
      </c>
      <c r="F392" t="s">
        <v>14</v>
      </c>
      <c r="G392">
        <v>3</v>
      </c>
      <c r="H392">
        <v>300</v>
      </c>
      <c r="I392">
        <v>900</v>
      </c>
    </row>
    <row r="393" spans="1:9" x14ac:dyDescent="0.3">
      <c r="A393">
        <v>680</v>
      </c>
      <c r="B393" s="1">
        <v>45221</v>
      </c>
      <c r="C393" t="s">
        <v>693</v>
      </c>
      <c r="D393" t="s">
        <v>13</v>
      </c>
      <c r="E393">
        <v>53</v>
      </c>
      <c r="F393" t="s">
        <v>14</v>
      </c>
      <c r="G393">
        <v>3</v>
      </c>
      <c r="H393">
        <v>300</v>
      </c>
      <c r="I393">
        <v>900</v>
      </c>
    </row>
    <row r="394" spans="1:9" x14ac:dyDescent="0.3">
      <c r="A394">
        <v>265</v>
      </c>
      <c r="B394" s="1">
        <v>45271</v>
      </c>
      <c r="C394" t="s">
        <v>278</v>
      </c>
      <c r="D394" t="s">
        <v>10</v>
      </c>
      <c r="E394">
        <v>55</v>
      </c>
      <c r="F394" t="s">
        <v>14</v>
      </c>
      <c r="G394">
        <v>3</v>
      </c>
      <c r="H394">
        <v>300</v>
      </c>
      <c r="I394">
        <v>900</v>
      </c>
    </row>
    <row r="395" spans="1:9" x14ac:dyDescent="0.3">
      <c r="A395">
        <v>782</v>
      </c>
      <c r="B395" s="1">
        <v>45081</v>
      </c>
      <c r="C395" t="s">
        <v>795</v>
      </c>
      <c r="D395" t="s">
        <v>10</v>
      </c>
      <c r="E395">
        <v>59</v>
      </c>
      <c r="F395" t="s">
        <v>14</v>
      </c>
      <c r="G395">
        <v>3</v>
      </c>
      <c r="H395">
        <v>300</v>
      </c>
      <c r="I395">
        <v>900</v>
      </c>
    </row>
    <row r="396" spans="1:9" x14ac:dyDescent="0.3">
      <c r="A396">
        <v>496</v>
      </c>
      <c r="B396" s="1">
        <v>45274</v>
      </c>
      <c r="C396" t="s">
        <v>509</v>
      </c>
      <c r="D396" t="s">
        <v>10</v>
      </c>
      <c r="E396">
        <v>23</v>
      </c>
      <c r="F396" t="s">
        <v>14</v>
      </c>
      <c r="G396">
        <v>2</v>
      </c>
      <c r="H396">
        <v>300</v>
      </c>
      <c r="I396">
        <v>600</v>
      </c>
    </row>
    <row r="397" spans="1:9" x14ac:dyDescent="0.3">
      <c r="A397">
        <v>899</v>
      </c>
      <c r="B397" s="1">
        <v>45071</v>
      </c>
      <c r="C397" t="s">
        <v>912</v>
      </c>
      <c r="D397" t="s">
        <v>10</v>
      </c>
      <c r="E397">
        <v>26</v>
      </c>
      <c r="F397" t="s">
        <v>14</v>
      </c>
      <c r="G397">
        <v>2</v>
      </c>
      <c r="H397">
        <v>300</v>
      </c>
      <c r="I397">
        <v>600</v>
      </c>
    </row>
    <row r="398" spans="1:9" x14ac:dyDescent="0.3">
      <c r="A398">
        <v>392</v>
      </c>
      <c r="B398" s="1">
        <v>45268</v>
      </c>
      <c r="C398" t="s">
        <v>405</v>
      </c>
      <c r="D398" t="s">
        <v>10</v>
      </c>
      <c r="E398">
        <v>27</v>
      </c>
      <c r="F398" t="s">
        <v>14</v>
      </c>
      <c r="G398">
        <v>2</v>
      </c>
      <c r="H398">
        <v>300</v>
      </c>
      <c r="I398">
        <v>600</v>
      </c>
    </row>
    <row r="399" spans="1:9" x14ac:dyDescent="0.3">
      <c r="A399">
        <v>443</v>
      </c>
      <c r="B399" s="1">
        <v>45147</v>
      </c>
      <c r="C399" t="s">
        <v>456</v>
      </c>
      <c r="D399" t="s">
        <v>10</v>
      </c>
      <c r="E399">
        <v>29</v>
      </c>
      <c r="F399" t="s">
        <v>14</v>
      </c>
      <c r="G399">
        <v>2</v>
      </c>
      <c r="H399">
        <v>300</v>
      </c>
      <c r="I399">
        <v>600</v>
      </c>
    </row>
    <row r="400" spans="1:9" x14ac:dyDescent="0.3">
      <c r="A400">
        <v>101</v>
      </c>
      <c r="B400" s="1">
        <v>44955</v>
      </c>
      <c r="C400" t="s">
        <v>114</v>
      </c>
      <c r="D400" t="s">
        <v>10</v>
      </c>
      <c r="E400">
        <v>32</v>
      </c>
      <c r="F400" t="s">
        <v>14</v>
      </c>
      <c r="G400">
        <v>2</v>
      </c>
      <c r="H400">
        <v>300</v>
      </c>
      <c r="I400">
        <v>600</v>
      </c>
    </row>
    <row r="401" spans="1:9" x14ac:dyDescent="0.3">
      <c r="A401">
        <v>403</v>
      </c>
      <c r="B401" s="1">
        <v>45066</v>
      </c>
      <c r="C401" t="s">
        <v>416</v>
      </c>
      <c r="D401" t="s">
        <v>10</v>
      </c>
      <c r="E401">
        <v>32</v>
      </c>
      <c r="F401" t="s">
        <v>14</v>
      </c>
      <c r="G401">
        <v>2</v>
      </c>
      <c r="H401">
        <v>300</v>
      </c>
      <c r="I401">
        <v>600</v>
      </c>
    </row>
    <row r="402" spans="1:9" x14ac:dyDescent="0.3">
      <c r="A402">
        <v>402</v>
      </c>
      <c r="B402" s="1">
        <v>45006</v>
      </c>
      <c r="C402" t="s">
        <v>415</v>
      </c>
      <c r="D402" t="s">
        <v>13</v>
      </c>
      <c r="E402">
        <v>41</v>
      </c>
      <c r="F402" t="s">
        <v>14</v>
      </c>
      <c r="G402">
        <v>2</v>
      </c>
      <c r="H402">
        <v>300</v>
      </c>
      <c r="I402">
        <v>600</v>
      </c>
    </row>
    <row r="403" spans="1:9" x14ac:dyDescent="0.3">
      <c r="A403">
        <v>637</v>
      </c>
      <c r="B403" s="1">
        <v>45170</v>
      </c>
      <c r="C403" t="s">
        <v>650</v>
      </c>
      <c r="D403" t="s">
        <v>10</v>
      </c>
      <c r="E403">
        <v>43</v>
      </c>
      <c r="F403" t="s">
        <v>14</v>
      </c>
      <c r="G403">
        <v>2</v>
      </c>
      <c r="H403">
        <v>300</v>
      </c>
      <c r="I403">
        <v>600</v>
      </c>
    </row>
    <row r="404" spans="1:9" x14ac:dyDescent="0.3">
      <c r="A404">
        <v>96</v>
      </c>
      <c r="B404" s="1">
        <v>45279</v>
      </c>
      <c r="C404" t="s">
        <v>109</v>
      </c>
      <c r="D404" t="s">
        <v>13</v>
      </c>
      <c r="E404">
        <v>44</v>
      </c>
      <c r="F404" t="s">
        <v>14</v>
      </c>
      <c r="G404">
        <v>2</v>
      </c>
      <c r="H404">
        <v>300</v>
      </c>
      <c r="I404">
        <v>600</v>
      </c>
    </row>
    <row r="405" spans="1:9" x14ac:dyDescent="0.3">
      <c r="A405">
        <v>842</v>
      </c>
      <c r="B405" s="1">
        <v>45286</v>
      </c>
      <c r="C405" t="s">
        <v>855</v>
      </c>
      <c r="D405" t="s">
        <v>13</v>
      </c>
      <c r="E405">
        <v>47</v>
      </c>
      <c r="F405" t="s">
        <v>14</v>
      </c>
      <c r="G405">
        <v>2</v>
      </c>
      <c r="H405">
        <v>300</v>
      </c>
      <c r="I405">
        <v>600</v>
      </c>
    </row>
    <row r="406" spans="1:9" x14ac:dyDescent="0.3">
      <c r="A406">
        <v>398</v>
      </c>
      <c r="B406" s="1">
        <v>45062</v>
      </c>
      <c r="C406" t="s">
        <v>411</v>
      </c>
      <c r="D406" t="s">
        <v>13</v>
      </c>
      <c r="E406">
        <v>48</v>
      </c>
      <c r="F406" t="s">
        <v>14</v>
      </c>
      <c r="G406">
        <v>2</v>
      </c>
      <c r="H406">
        <v>300</v>
      </c>
      <c r="I406">
        <v>600</v>
      </c>
    </row>
    <row r="407" spans="1:9" x14ac:dyDescent="0.3">
      <c r="A407">
        <v>649</v>
      </c>
      <c r="B407" s="1">
        <v>44966</v>
      </c>
      <c r="C407" t="s">
        <v>662</v>
      </c>
      <c r="D407" t="s">
        <v>13</v>
      </c>
      <c r="E407">
        <v>58</v>
      </c>
      <c r="F407" t="s">
        <v>14</v>
      </c>
      <c r="G407">
        <v>2</v>
      </c>
      <c r="H407">
        <v>300</v>
      </c>
      <c r="I407">
        <v>600</v>
      </c>
    </row>
    <row r="408" spans="1:9" x14ac:dyDescent="0.3">
      <c r="A408">
        <v>291</v>
      </c>
      <c r="B408" s="1">
        <v>44934</v>
      </c>
      <c r="C408" t="s">
        <v>304</v>
      </c>
      <c r="D408" t="s">
        <v>10</v>
      </c>
      <c r="E408">
        <v>60</v>
      </c>
      <c r="F408" t="s">
        <v>14</v>
      </c>
      <c r="G408">
        <v>2</v>
      </c>
      <c r="H408">
        <v>300</v>
      </c>
      <c r="I408">
        <v>600</v>
      </c>
    </row>
    <row r="409" spans="1:9" x14ac:dyDescent="0.3">
      <c r="A409">
        <v>702</v>
      </c>
      <c r="B409" s="1">
        <v>45134</v>
      </c>
      <c r="C409" t="s">
        <v>715</v>
      </c>
      <c r="D409" t="s">
        <v>13</v>
      </c>
      <c r="E409">
        <v>60</v>
      </c>
      <c r="F409" t="s">
        <v>14</v>
      </c>
      <c r="G409">
        <v>2</v>
      </c>
      <c r="H409">
        <v>300</v>
      </c>
      <c r="I409">
        <v>600</v>
      </c>
    </row>
    <row r="410" spans="1:9" x14ac:dyDescent="0.3">
      <c r="A410">
        <v>440</v>
      </c>
      <c r="B410" s="1">
        <v>45225</v>
      </c>
      <c r="C410" t="s">
        <v>453</v>
      </c>
      <c r="D410" t="s">
        <v>10</v>
      </c>
      <c r="E410">
        <v>64</v>
      </c>
      <c r="F410" t="s">
        <v>14</v>
      </c>
      <c r="G410">
        <v>2</v>
      </c>
      <c r="H410">
        <v>300</v>
      </c>
      <c r="I410">
        <v>600</v>
      </c>
    </row>
    <row r="411" spans="1:9" x14ac:dyDescent="0.3">
      <c r="A411">
        <v>714</v>
      </c>
      <c r="B411" s="1">
        <v>44969</v>
      </c>
      <c r="C411" t="s">
        <v>727</v>
      </c>
      <c r="D411" t="s">
        <v>13</v>
      </c>
      <c r="E411">
        <v>18</v>
      </c>
      <c r="F411" t="s">
        <v>14</v>
      </c>
      <c r="G411">
        <v>1</v>
      </c>
      <c r="H411">
        <v>500</v>
      </c>
      <c r="I411">
        <v>500</v>
      </c>
    </row>
    <row r="412" spans="1:9" x14ac:dyDescent="0.3">
      <c r="A412">
        <v>707</v>
      </c>
      <c r="B412" s="1">
        <v>45200</v>
      </c>
      <c r="C412" t="s">
        <v>720</v>
      </c>
      <c r="D412" t="s">
        <v>13</v>
      </c>
      <c r="E412">
        <v>26</v>
      </c>
      <c r="F412" t="s">
        <v>14</v>
      </c>
      <c r="G412">
        <v>1</v>
      </c>
      <c r="H412">
        <v>500</v>
      </c>
      <c r="I412">
        <v>500</v>
      </c>
    </row>
    <row r="413" spans="1:9" x14ac:dyDescent="0.3">
      <c r="A413">
        <v>394</v>
      </c>
      <c r="B413" s="1">
        <v>45080</v>
      </c>
      <c r="C413" t="s">
        <v>407</v>
      </c>
      <c r="D413" t="s">
        <v>13</v>
      </c>
      <c r="E413">
        <v>27</v>
      </c>
      <c r="F413" t="s">
        <v>14</v>
      </c>
      <c r="G413">
        <v>1</v>
      </c>
      <c r="H413">
        <v>500</v>
      </c>
      <c r="I413">
        <v>500</v>
      </c>
    </row>
    <row r="414" spans="1:9" x14ac:dyDescent="0.3">
      <c r="A414">
        <v>904</v>
      </c>
      <c r="B414" s="1">
        <v>45111</v>
      </c>
      <c r="C414" t="s">
        <v>917</v>
      </c>
      <c r="D414" t="s">
        <v>10</v>
      </c>
      <c r="E414">
        <v>28</v>
      </c>
      <c r="F414" t="s">
        <v>14</v>
      </c>
      <c r="G414">
        <v>1</v>
      </c>
      <c r="H414">
        <v>500</v>
      </c>
      <c r="I414">
        <v>500</v>
      </c>
    </row>
    <row r="415" spans="1:9" x14ac:dyDescent="0.3">
      <c r="A415">
        <v>319</v>
      </c>
      <c r="B415" s="1">
        <v>45204</v>
      </c>
      <c r="C415" t="s">
        <v>332</v>
      </c>
      <c r="D415" t="s">
        <v>10</v>
      </c>
      <c r="E415">
        <v>31</v>
      </c>
      <c r="F415" t="s">
        <v>14</v>
      </c>
      <c r="G415">
        <v>1</v>
      </c>
      <c r="H415">
        <v>500</v>
      </c>
      <c r="I415">
        <v>500</v>
      </c>
    </row>
    <row r="416" spans="1:9" x14ac:dyDescent="0.3">
      <c r="A416">
        <v>761</v>
      </c>
      <c r="B416" s="1">
        <v>45237</v>
      </c>
      <c r="C416" t="s">
        <v>774</v>
      </c>
      <c r="D416" t="s">
        <v>13</v>
      </c>
      <c r="E416">
        <v>33</v>
      </c>
      <c r="F416" t="s">
        <v>14</v>
      </c>
      <c r="G416">
        <v>1</v>
      </c>
      <c r="H416">
        <v>500</v>
      </c>
      <c r="I416">
        <v>500</v>
      </c>
    </row>
    <row r="417" spans="1:9" x14ac:dyDescent="0.3">
      <c r="A417">
        <v>4</v>
      </c>
      <c r="B417" s="1">
        <v>45067</v>
      </c>
      <c r="C417" t="s">
        <v>17</v>
      </c>
      <c r="D417" t="s">
        <v>10</v>
      </c>
      <c r="E417">
        <v>37</v>
      </c>
      <c r="F417" t="s">
        <v>14</v>
      </c>
      <c r="G417">
        <v>1</v>
      </c>
      <c r="H417">
        <v>500</v>
      </c>
      <c r="I417">
        <v>500</v>
      </c>
    </row>
    <row r="418" spans="1:9" x14ac:dyDescent="0.3">
      <c r="A418">
        <v>337</v>
      </c>
      <c r="B418" s="1">
        <v>45047</v>
      </c>
      <c r="C418" t="s">
        <v>350</v>
      </c>
      <c r="D418" t="s">
        <v>10</v>
      </c>
      <c r="E418">
        <v>38</v>
      </c>
      <c r="F418" t="s">
        <v>14</v>
      </c>
      <c r="G418">
        <v>1</v>
      </c>
      <c r="H418">
        <v>500</v>
      </c>
      <c r="I418">
        <v>500</v>
      </c>
    </row>
    <row r="419" spans="1:9" x14ac:dyDescent="0.3">
      <c r="A419">
        <v>570</v>
      </c>
      <c r="B419" s="1">
        <v>45153</v>
      </c>
      <c r="C419" t="s">
        <v>583</v>
      </c>
      <c r="D419" t="s">
        <v>10</v>
      </c>
      <c r="E419">
        <v>49</v>
      </c>
      <c r="F419" t="s">
        <v>14</v>
      </c>
      <c r="G419">
        <v>1</v>
      </c>
      <c r="H419">
        <v>500</v>
      </c>
      <c r="I419">
        <v>500</v>
      </c>
    </row>
    <row r="420" spans="1:9" x14ac:dyDescent="0.3">
      <c r="A420">
        <v>279</v>
      </c>
      <c r="B420" s="1">
        <v>45143</v>
      </c>
      <c r="C420" t="s">
        <v>292</v>
      </c>
      <c r="D420" t="s">
        <v>10</v>
      </c>
      <c r="E420">
        <v>50</v>
      </c>
      <c r="F420" t="s">
        <v>14</v>
      </c>
      <c r="G420">
        <v>1</v>
      </c>
      <c r="H420">
        <v>500</v>
      </c>
      <c r="I420">
        <v>500</v>
      </c>
    </row>
    <row r="421" spans="1:9" x14ac:dyDescent="0.3">
      <c r="A421">
        <v>721</v>
      </c>
      <c r="B421" s="1">
        <v>45060</v>
      </c>
      <c r="C421" t="s">
        <v>734</v>
      </c>
      <c r="D421" t="s">
        <v>13</v>
      </c>
      <c r="E421">
        <v>52</v>
      </c>
      <c r="F421" t="s">
        <v>14</v>
      </c>
      <c r="G421">
        <v>1</v>
      </c>
      <c r="H421">
        <v>500</v>
      </c>
      <c r="I421">
        <v>500</v>
      </c>
    </row>
    <row r="422" spans="1:9" x14ac:dyDescent="0.3">
      <c r="A422">
        <v>697</v>
      </c>
      <c r="B422" s="1">
        <v>44941</v>
      </c>
      <c r="C422" t="s">
        <v>710</v>
      </c>
      <c r="D422" t="s">
        <v>10</v>
      </c>
      <c r="E422">
        <v>53</v>
      </c>
      <c r="F422" t="s">
        <v>14</v>
      </c>
      <c r="G422">
        <v>1</v>
      </c>
      <c r="H422">
        <v>500</v>
      </c>
      <c r="I422">
        <v>500</v>
      </c>
    </row>
    <row r="423" spans="1:9" x14ac:dyDescent="0.3">
      <c r="A423">
        <v>845</v>
      </c>
      <c r="B423" s="1">
        <v>44932</v>
      </c>
      <c r="C423" t="s">
        <v>858</v>
      </c>
      <c r="D423" t="s">
        <v>10</v>
      </c>
      <c r="E423">
        <v>54</v>
      </c>
      <c r="F423" t="s">
        <v>14</v>
      </c>
      <c r="G423">
        <v>1</v>
      </c>
      <c r="H423">
        <v>500</v>
      </c>
      <c r="I423">
        <v>500</v>
      </c>
    </row>
    <row r="424" spans="1:9" x14ac:dyDescent="0.3">
      <c r="A424">
        <v>384</v>
      </c>
      <c r="B424" s="1">
        <v>45151</v>
      </c>
      <c r="C424" t="s">
        <v>397</v>
      </c>
      <c r="D424" t="s">
        <v>10</v>
      </c>
      <c r="E424">
        <v>55</v>
      </c>
      <c r="F424" t="s">
        <v>14</v>
      </c>
      <c r="G424">
        <v>1</v>
      </c>
      <c r="H424">
        <v>500</v>
      </c>
      <c r="I424">
        <v>500</v>
      </c>
    </row>
    <row r="425" spans="1:9" x14ac:dyDescent="0.3">
      <c r="A425">
        <v>655</v>
      </c>
      <c r="B425" s="1">
        <v>45090</v>
      </c>
      <c r="C425" t="s">
        <v>668</v>
      </c>
      <c r="D425" t="s">
        <v>13</v>
      </c>
      <c r="E425">
        <v>55</v>
      </c>
      <c r="F425" t="s">
        <v>14</v>
      </c>
      <c r="G425">
        <v>1</v>
      </c>
      <c r="H425">
        <v>500</v>
      </c>
      <c r="I425">
        <v>500</v>
      </c>
    </row>
    <row r="426" spans="1:9" x14ac:dyDescent="0.3">
      <c r="A426">
        <v>88</v>
      </c>
      <c r="B426" s="1">
        <v>45014</v>
      </c>
      <c r="C426" t="s">
        <v>101</v>
      </c>
      <c r="D426" t="s">
        <v>10</v>
      </c>
      <c r="E426">
        <v>56</v>
      </c>
      <c r="F426" t="s">
        <v>14</v>
      </c>
      <c r="G426">
        <v>1</v>
      </c>
      <c r="H426">
        <v>500</v>
      </c>
      <c r="I426">
        <v>500</v>
      </c>
    </row>
    <row r="427" spans="1:9" x14ac:dyDescent="0.3">
      <c r="A427">
        <v>984</v>
      </c>
      <c r="B427" s="1">
        <v>45167</v>
      </c>
      <c r="C427" t="s">
        <v>997</v>
      </c>
      <c r="D427" t="s">
        <v>10</v>
      </c>
      <c r="E427">
        <v>56</v>
      </c>
      <c r="F427" t="s">
        <v>14</v>
      </c>
      <c r="G427">
        <v>1</v>
      </c>
      <c r="H427">
        <v>500</v>
      </c>
      <c r="I427">
        <v>500</v>
      </c>
    </row>
    <row r="428" spans="1:9" x14ac:dyDescent="0.3">
      <c r="A428">
        <v>130</v>
      </c>
      <c r="B428" s="1">
        <v>44997</v>
      </c>
      <c r="C428" t="s">
        <v>143</v>
      </c>
      <c r="D428" t="s">
        <v>13</v>
      </c>
      <c r="E428">
        <v>57</v>
      </c>
      <c r="F428" t="s">
        <v>14</v>
      </c>
      <c r="G428">
        <v>1</v>
      </c>
      <c r="H428">
        <v>500</v>
      </c>
      <c r="I428">
        <v>500</v>
      </c>
    </row>
    <row r="429" spans="1:9" x14ac:dyDescent="0.3">
      <c r="A429">
        <v>717</v>
      </c>
      <c r="B429" s="1">
        <v>44996</v>
      </c>
      <c r="C429" t="s">
        <v>730</v>
      </c>
      <c r="D429" t="s">
        <v>10</v>
      </c>
      <c r="E429">
        <v>57</v>
      </c>
      <c r="F429" t="s">
        <v>14</v>
      </c>
      <c r="G429">
        <v>1</v>
      </c>
      <c r="H429">
        <v>500</v>
      </c>
      <c r="I429">
        <v>500</v>
      </c>
    </row>
    <row r="430" spans="1:9" x14ac:dyDescent="0.3">
      <c r="A430">
        <v>814</v>
      </c>
      <c r="B430" s="1">
        <v>45174</v>
      </c>
      <c r="C430" t="s">
        <v>827</v>
      </c>
      <c r="D430" t="s">
        <v>13</v>
      </c>
      <c r="E430">
        <v>59</v>
      </c>
      <c r="F430" t="s">
        <v>14</v>
      </c>
      <c r="G430">
        <v>1</v>
      </c>
      <c r="H430">
        <v>500</v>
      </c>
      <c r="I430">
        <v>500</v>
      </c>
    </row>
    <row r="431" spans="1:9" x14ac:dyDescent="0.3">
      <c r="A431">
        <v>983</v>
      </c>
      <c r="B431" s="1">
        <v>45231</v>
      </c>
      <c r="C431" t="s">
        <v>996</v>
      </c>
      <c r="D431" t="s">
        <v>13</v>
      </c>
      <c r="E431">
        <v>29</v>
      </c>
      <c r="F431" t="s">
        <v>14</v>
      </c>
      <c r="G431">
        <v>1</v>
      </c>
      <c r="H431">
        <v>300</v>
      </c>
      <c r="I431">
        <v>300</v>
      </c>
    </row>
    <row r="432" spans="1:9" x14ac:dyDescent="0.3">
      <c r="A432">
        <v>365</v>
      </c>
      <c r="B432" s="1">
        <v>45088</v>
      </c>
      <c r="C432" t="s">
        <v>378</v>
      </c>
      <c r="D432" t="s">
        <v>10</v>
      </c>
      <c r="E432">
        <v>31</v>
      </c>
      <c r="F432" t="s">
        <v>14</v>
      </c>
      <c r="G432">
        <v>1</v>
      </c>
      <c r="H432">
        <v>300</v>
      </c>
      <c r="I432">
        <v>300</v>
      </c>
    </row>
    <row r="433" spans="1:9" x14ac:dyDescent="0.3">
      <c r="A433">
        <v>625</v>
      </c>
      <c r="B433" s="1">
        <v>45268</v>
      </c>
      <c r="C433" t="s">
        <v>638</v>
      </c>
      <c r="D433" t="s">
        <v>10</v>
      </c>
      <c r="E433">
        <v>31</v>
      </c>
      <c r="F433" t="s">
        <v>14</v>
      </c>
      <c r="G433">
        <v>1</v>
      </c>
      <c r="H433">
        <v>300</v>
      </c>
      <c r="I433">
        <v>300</v>
      </c>
    </row>
    <row r="434" spans="1:9" x14ac:dyDescent="0.3">
      <c r="A434">
        <v>674</v>
      </c>
      <c r="B434" s="1">
        <v>45032</v>
      </c>
      <c r="C434" t="s">
        <v>687</v>
      </c>
      <c r="D434" t="s">
        <v>13</v>
      </c>
      <c r="E434">
        <v>38</v>
      </c>
      <c r="F434" t="s">
        <v>14</v>
      </c>
      <c r="G434">
        <v>1</v>
      </c>
      <c r="H434">
        <v>300</v>
      </c>
      <c r="I434">
        <v>300</v>
      </c>
    </row>
    <row r="435" spans="1:9" x14ac:dyDescent="0.3">
      <c r="A435">
        <v>852</v>
      </c>
      <c r="B435" s="1">
        <v>45211</v>
      </c>
      <c r="C435" t="s">
        <v>865</v>
      </c>
      <c r="D435" t="s">
        <v>13</v>
      </c>
      <c r="E435">
        <v>41</v>
      </c>
      <c r="F435" t="s">
        <v>14</v>
      </c>
      <c r="G435">
        <v>1</v>
      </c>
      <c r="H435">
        <v>300</v>
      </c>
      <c r="I435">
        <v>300</v>
      </c>
    </row>
    <row r="436" spans="1:9" x14ac:dyDescent="0.3">
      <c r="A436">
        <v>865</v>
      </c>
      <c r="B436" s="1">
        <v>45281</v>
      </c>
      <c r="C436" t="s">
        <v>878</v>
      </c>
      <c r="D436" t="s">
        <v>13</v>
      </c>
      <c r="E436">
        <v>42</v>
      </c>
      <c r="F436" t="s">
        <v>14</v>
      </c>
      <c r="G436">
        <v>1</v>
      </c>
      <c r="H436">
        <v>300</v>
      </c>
      <c r="I436">
        <v>300</v>
      </c>
    </row>
    <row r="437" spans="1:9" x14ac:dyDescent="0.3">
      <c r="A437">
        <v>70</v>
      </c>
      <c r="B437" s="1">
        <v>44978</v>
      </c>
      <c r="C437" t="s">
        <v>83</v>
      </c>
      <c r="D437" t="s">
        <v>13</v>
      </c>
      <c r="E437">
        <v>43</v>
      </c>
      <c r="F437" t="s">
        <v>14</v>
      </c>
      <c r="G437">
        <v>1</v>
      </c>
      <c r="H437">
        <v>300</v>
      </c>
      <c r="I437">
        <v>300</v>
      </c>
    </row>
    <row r="438" spans="1:9" x14ac:dyDescent="0.3">
      <c r="A438">
        <v>826</v>
      </c>
      <c r="B438" s="1">
        <v>45218</v>
      </c>
      <c r="C438" t="s">
        <v>839</v>
      </c>
      <c r="D438" t="s">
        <v>13</v>
      </c>
      <c r="E438">
        <v>46</v>
      </c>
      <c r="F438" t="s">
        <v>14</v>
      </c>
      <c r="G438">
        <v>1</v>
      </c>
      <c r="H438">
        <v>300</v>
      </c>
      <c r="I438">
        <v>300</v>
      </c>
    </row>
    <row r="439" spans="1:9" x14ac:dyDescent="0.3">
      <c r="A439">
        <v>43</v>
      </c>
      <c r="B439" s="1">
        <v>45121</v>
      </c>
      <c r="C439" t="s">
        <v>56</v>
      </c>
      <c r="D439" t="s">
        <v>13</v>
      </c>
      <c r="E439">
        <v>48</v>
      </c>
      <c r="F439" t="s">
        <v>14</v>
      </c>
      <c r="G439">
        <v>1</v>
      </c>
      <c r="H439">
        <v>300</v>
      </c>
      <c r="I439">
        <v>300</v>
      </c>
    </row>
    <row r="440" spans="1:9" x14ac:dyDescent="0.3">
      <c r="A440">
        <v>741</v>
      </c>
      <c r="B440" s="1">
        <v>45260</v>
      </c>
      <c r="C440" t="s">
        <v>754</v>
      </c>
      <c r="D440" t="s">
        <v>10</v>
      </c>
      <c r="E440">
        <v>48</v>
      </c>
      <c r="F440" t="s">
        <v>14</v>
      </c>
      <c r="G440">
        <v>1</v>
      </c>
      <c r="H440">
        <v>300</v>
      </c>
      <c r="I440">
        <v>300</v>
      </c>
    </row>
    <row r="441" spans="1:9" x14ac:dyDescent="0.3">
      <c r="A441">
        <v>24</v>
      </c>
      <c r="B441" s="1">
        <v>45259</v>
      </c>
      <c r="C441" t="s">
        <v>37</v>
      </c>
      <c r="D441" t="s">
        <v>13</v>
      </c>
      <c r="E441">
        <v>49</v>
      </c>
      <c r="F441" t="s">
        <v>14</v>
      </c>
      <c r="G441">
        <v>1</v>
      </c>
      <c r="H441">
        <v>300</v>
      </c>
      <c r="I441">
        <v>300</v>
      </c>
    </row>
    <row r="442" spans="1:9" x14ac:dyDescent="0.3">
      <c r="A442">
        <v>168</v>
      </c>
      <c r="B442" s="1">
        <v>44981</v>
      </c>
      <c r="C442" t="s">
        <v>181</v>
      </c>
      <c r="D442" t="s">
        <v>10</v>
      </c>
      <c r="E442">
        <v>53</v>
      </c>
      <c r="F442" t="s">
        <v>14</v>
      </c>
      <c r="G442">
        <v>1</v>
      </c>
      <c r="H442">
        <v>300</v>
      </c>
      <c r="I442">
        <v>300</v>
      </c>
    </row>
    <row r="443" spans="1:9" x14ac:dyDescent="0.3">
      <c r="A443">
        <v>783</v>
      </c>
      <c r="B443" s="1">
        <v>45277</v>
      </c>
      <c r="C443" t="s">
        <v>796</v>
      </c>
      <c r="D443" t="s">
        <v>13</v>
      </c>
      <c r="E443">
        <v>56</v>
      </c>
      <c r="F443" t="s">
        <v>14</v>
      </c>
      <c r="G443">
        <v>1</v>
      </c>
      <c r="H443">
        <v>300</v>
      </c>
      <c r="I443">
        <v>300</v>
      </c>
    </row>
    <row r="444" spans="1:9" x14ac:dyDescent="0.3">
      <c r="A444">
        <v>401</v>
      </c>
      <c r="B444" s="1">
        <v>45210</v>
      </c>
      <c r="C444" t="s">
        <v>414</v>
      </c>
      <c r="D444" t="s">
        <v>13</v>
      </c>
      <c r="E444">
        <v>62</v>
      </c>
      <c r="F444" t="s">
        <v>14</v>
      </c>
      <c r="G444">
        <v>1</v>
      </c>
      <c r="H444">
        <v>300</v>
      </c>
      <c r="I444">
        <v>300</v>
      </c>
    </row>
    <row r="445" spans="1:9" x14ac:dyDescent="0.3">
      <c r="A445">
        <v>186</v>
      </c>
      <c r="B445" s="1">
        <v>45112</v>
      </c>
      <c r="C445" t="s">
        <v>199</v>
      </c>
      <c r="D445" t="s">
        <v>10</v>
      </c>
      <c r="E445">
        <v>20</v>
      </c>
      <c r="F445" t="s">
        <v>14</v>
      </c>
      <c r="G445">
        <v>4</v>
      </c>
      <c r="H445">
        <v>50</v>
      </c>
      <c r="I445">
        <v>200</v>
      </c>
    </row>
    <row r="446" spans="1:9" x14ac:dyDescent="0.3">
      <c r="A446">
        <v>801</v>
      </c>
      <c r="B446" s="1">
        <v>45148</v>
      </c>
      <c r="C446" t="s">
        <v>814</v>
      </c>
      <c r="D446" t="s">
        <v>10</v>
      </c>
      <c r="E446">
        <v>21</v>
      </c>
      <c r="F446" t="s">
        <v>14</v>
      </c>
      <c r="G446">
        <v>4</v>
      </c>
      <c r="H446">
        <v>50</v>
      </c>
      <c r="I446">
        <v>200</v>
      </c>
    </row>
    <row r="447" spans="1:9" x14ac:dyDescent="0.3">
      <c r="A447">
        <v>965</v>
      </c>
      <c r="B447" s="1">
        <v>45239</v>
      </c>
      <c r="C447" t="s">
        <v>978</v>
      </c>
      <c r="D447" t="s">
        <v>10</v>
      </c>
      <c r="E447">
        <v>22</v>
      </c>
      <c r="F447" t="s">
        <v>14</v>
      </c>
      <c r="G447">
        <v>4</v>
      </c>
      <c r="H447">
        <v>50</v>
      </c>
      <c r="I447">
        <v>200</v>
      </c>
    </row>
    <row r="448" spans="1:9" x14ac:dyDescent="0.3">
      <c r="A448">
        <v>159</v>
      </c>
      <c r="B448" s="1">
        <v>45077</v>
      </c>
      <c r="C448" t="s">
        <v>172</v>
      </c>
      <c r="D448" t="s">
        <v>10</v>
      </c>
      <c r="E448">
        <v>26</v>
      </c>
      <c r="F448" t="s">
        <v>14</v>
      </c>
      <c r="G448">
        <v>4</v>
      </c>
      <c r="H448">
        <v>50</v>
      </c>
      <c r="I448">
        <v>200</v>
      </c>
    </row>
    <row r="449" spans="1:9" x14ac:dyDescent="0.3">
      <c r="A449">
        <v>341</v>
      </c>
      <c r="B449" s="1">
        <v>45053</v>
      </c>
      <c r="C449" t="s">
        <v>354</v>
      </c>
      <c r="D449" t="s">
        <v>10</v>
      </c>
      <c r="E449">
        <v>31</v>
      </c>
      <c r="F449" t="s">
        <v>14</v>
      </c>
      <c r="G449">
        <v>4</v>
      </c>
      <c r="H449">
        <v>50</v>
      </c>
      <c r="I449">
        <v>200</v>
      </c>
    </row>
    <row r="450" spans="1:9" x14ac:dyDescent="0.3">
      <c r="A450">
        <v>835</v>
      </c>
      <c r="B450" s="1">
        <v>45176</v>
      </c>
      <c r="C450" t="s">
        <v>848</v>
      </c>
      <c r="D450" t="s">
        <v>10</v>
      </c>
      <c r="E450">
        <v>37</v>
      </c>
      <c r="F450" t="s">
        <v>14</v>
      </c>
      <c r="G450">
        <v>4</v>
      </c>
      <c r="H450">
        <v>50</v>
      </c>
      <c r="I450">
        <v>200</v>
      </c>
    </row>
    <row r="451" spans="1:9" x14ac:dyDescent="0.3">
      <c r="A451">
        <v>146</v>
      </c>
      <c r="B451" s="1">
        <v>45166</v>
      </c>
      <c r="C451" t="s">
        <v>159</v>
      </c>
      <c r="D451" t="s">
        <v>10</v>
      </c>
      <c r="E451">
        <v>38</v>
      </c>
      <c r="F451" t="s">
        <v>14</v>
      </c>
      <c r="G451">
        <v>4</v>
      </c>
      <c r="H451">
        <v>50</v>
      </c>
      <c r="I451">
        <v>200</v>
      </c>
    </row>
    <row r="452" spans="1:9" x14ac:dyDescent="0.3">
      <c r="A452">
        <v>197</v>
      </c>
      <c r="B452" s="1">
        <v>44991</v>
      </c>
      <c r="C452" t="s">
        <v>210</v>
      </c>
      <c r="D452" t="s">
        <v>13</v>
      </c>
      <c r="E452">
        <v>42</v>
      </c>
      <c r="F452" t="s">
        <v>14</v>
      </c>
      <c r="G452">
        <v>4</v>
      </c>
      <c r="H452">
        <v>50</v>
      </c>
      <c r="I452">
        <v>200</v>
      </c>
    </row>
    <row r="453" spans="1:9" x14ac:dyDescent="0.3">
      <c r="A453">
        <v>284</v>
      </c>
      <c r="B453" s="1">
        <v>44965</v>
      </c>
      <c r="C453" t="s">
        <v>297</v>
      </c>
      <c r="D453" t="s">
        <v>10</v>
      </c>
      <c r="E453">
        <v>43</v>
      </c>
      <c r="F453" t="s">
        <v>14</v>
      </c>
      <c r="G453">
        <v>4</v>
      </c>
      <c r="H453">
        <v>50</v>
      </c>
      <c r="I453">
        <v>200</v>
      </c>
    </row>
    <row r="454" spans="1:9" x14ac:dyDescent="0.3">
      <c r="A454">
        <v>765</v>
      </c>
      <c r="B454" s="1">
        <v>45086</v>
      </c>
      <c r="C454" t="s">
        <v>778</v>
      </c>
      <c r="D454" t="s">
        <v>10</v>
      </c>
      <c r="E454">
        <v>43</v>
      </c>
      <c r="F454" t="s">
        <v>14</v>
      </c>
      <c r="G454">
        <v>4</v>
      </c>
      <c r="H454">
        <v>50</v>
      </c>
      <c r="I454">
        <v>200</v>
      </c>
    </row>
    <row r="455" spans="1:9" x14ac:dyDescent="0.3">
      <c r="A455">
        <v>259</v>
      </c>
      <c r="B455" s="1">
        <v>45147</v>
      </c>
      <c r="C455" t="s">
        <v>272</v>
      </c>
      <c r="D455" t="s">
        <v>13</v>
      </c>
      <c r="E455">
        <v>45</v>
      </c>
      <c r="F455" t="s">
        <v>14</v>
      </c>
      <c r="G455">
        <v>4</v>
      </c>
      <c r="H455">
        <v>50</v>
      </c>
      <c r="I455">
        <v>200</v>
      </c>
    </row>
    <row r="456" spans="1:9" x14ac:dyDescent="0.3">
      <c r="A456">
        <v>377</v>
      </c>
      <c r="B456" s="1">
        <v>44994</v>
      </c>
      <c r="C456" t="s">
        <v>390</v>
      </c>
      <c r="D456" t="s">
        <v>13</v>
      </c>
      <c r="E456">
        <v>46</v>
      </c>
      <c r="F456" t="s">
        <v>14</v>
      </c>
      <c r="G456">
        <v>4</v>
      </c>
      <c r="H456">
        <v>50</v>
      </c>
      <c r="I456">
        <v>200</v>
      </c>
    </row>
    <row r="457" spans="1:9" x14ac:dyDescent="0.3">
      <c r="A457">
        <v>138</v>
      </c>
      <c r="B457" s="1">
        <v>45008</v>
      </c>
      <c r="C457" t="s">
        <v>151</v>
      </c>
      <c r="D457" t="s">
        <v>10</v>
      </c>
      <c r="E457">
        <v>49</v>
      </c>
      <c r="F457" t="s">
        <v>14</v>
      </c>
      <c r="G457">
        <v>4</v>
      </c>
      <c r="H457">
        <v>50</v>
      </c>
      <c r="I457">
        <v>200</v>
      </c>
    </row>
    <row r="458" spans="1:9" x14ac:dyDescent="0.3">
      <c r="A458">
        <v>938</v>
      </c>
      <c r="B458" s="1">
        <v>45249</v>
      </c>
      <c r="C458" t="s">
        <v>951</v>
      </c>
      <c r="D458" t="s">
        <v>10</v>
      </c>
      <c r="E458">
        <v>49</v>
      </c>
      <c r="F458" t="s">
        <v>14</v>
      </c>
      <c r="G458">
        <v>4</v>
      </c>
      <c r="H458">
        <v>50</v>
      </c>
      <c r="I458">
        <v>200</v>
      </c>
    </row>
    <row r="459" spans="1:9" x14ac:dyDescent="0.3">
      <c r="A459">
        <v>696</v>
      </c>
      <c r="B459" s="1">
        <v>45175</v>
      </c>
      <c r="C459" t="s">
        <v>709</v>
      </c>
      <c r="D459" t="s">
        <v>13</v>
      </c>
      <c r="E459">
        <v>50</v>
      </c>
      <c r="F459" t="s">
        <v>14</v>
      </c>
      <c r="G459">
        <v>4</v>
      </c>
      <c r="H459">
        <v>50</v>
      </c>
      <c r="I459">
        <v>200</v>
      </c>
    </row>
    <row r="460" spans="1:9" x14ac:dyDescent="0.3">
      <c r="A460">
        <v>10</v>
      </c>
      <c r="B460" s="1">
        <v>45206</v>
      </c>
      <c r="C460" t="s">
        <v>23</v>
      </c>
      <c r="D460" t="s">
        <v>13</v>
      </c>
      <c r="E460">
        <v>52</v>
      </c>
      <c r="F460" t="s">
        <v>14</v>
      </c>
      <c r="G460">
        <v>4</v>
      </c>
      <c r="H460">
        <v>50</v>
      </c>
      <c r="I460">
        <v>200</v>
      </c>
    </row>
    <row r="461" spans="1:9" x14ac:dyDescent="0.3">
      <c r="A461">
        <v>400</v>
      </c>
      <c r="B461" s="1">
        <v>44981</v>
      </c>
      <c r="C461" t="s">
        <v>413</v>
      </c>
      <c r="D461" t="s">
        <v>10</v>
      </c>
      <c r="E461">
        <v>53</v>
      </c>
      <c r="F461" t="s">
        <v>14</v>
      </c>
      <c r="G461">
        <v>4</v>
      </c>
      <c r="H461">
        <v>50</v>
      </c>
      <c r="I461">
        <v>200</v>
      </c>
    </row>
    <row r="462" spans="1:9" x14ac:dyDescent="0.3">
      <c r="A462">
        <v>930</v>
      </c>
      <c r="B462" s="1">
        <v>45056</v>
      </c>
      <c r="C462" t="s">
        <v>943</v>
      </c>
      <c r="D462" t="s">
        <v>10</v>
      </c>
      <c r="E462">
        <v>54</v>
      </c>
      <c r="F462" t="s">
        <v>14</v>
      </c>
      <c r="G462">
        <v>4</v>
      </c>
      <c r="H462">
        <v>50</v>
      </c>
      <c r="I462">
        <v>200</v>
      </c>
    </row>
    <row r="463" spans="1:9" x14ac:dyDescent="0.3">
      <c r="A463">
        <v>194</v>
      </c>
      <c r="B463" s="1">
        <v>45175</v>
      </c>
      <c r="C463" t="s">
        <v>207</v>
      </c>
      <c r="D463" t="s">
        <v>10</v>
      </c>
      <c r="E463">
        <v>55</v>
      </c>
      <c r="F463" t="s">
        <v>14</v>
      </c>
      <c r="G463">
        <v>4</v>
      </c>
      <c r="H463">
        <v>50</v>
      </c>
      <c r="I463">
        <v>200</v>
      </c>
    </row>
    <row r="464" spans="1:9" x14ac:dyDescent="0.3">
      <c r="A464">
        <v>975</v>
      </c>
      <c r="B464" s="1">
        <v>45015</v>
      </c>
      <c r="C464" t="s">
        <v>988</v>
      </c>
      <c r="D464" t="s">
        <v>13</v>
      </c>
      <c r="E464">
        <v>56</v>
      </c>
      <c r="F464" t="s">
        <v>14</v>
      </c>
      <c r="G464">
        <v>4</v>
      </c>
      <c r="H464">
        <v>50</v>
      </c>
      <c r="I464">
        <v>200</v>
      </c>
    </row>
    <row r="465" spans="1:9" x14ac:dyDescent="0.3">
      <c r="A465">
        <v>860</v>
      </c>
      <c r="B465" s="1">
        <v>44935</v>
      </c>
      <c r="C465" t="s">
        <v>873</v>
      </c>
      <c r="D465" t="s">
        <v>10</v>
      </c>
      <c r="E465">
        <v>63</v>
      </c>
      <c r="F465" t="s">
        <v>14</v>
      </c>
      <c r="G465">
        <v>4</v>
      </c>
      <c r="H465">
        <v>50</v>
      </c>
      <c r="I465">
        <v>200</v>
      </c>
    </row>
    <row r="466" spans="1:9" x14ac:dyDescent="0.3">
      <c r="A466">
        <v>538</v>
      </c>
      <c r="B466" s="1">
        <v>45186</v>
      </c>
      <c r="C466" t="s">
        <v>551</v>
      </c>
      <c r="D466" t="s">
        <v>10</v>
      </c>
      <c r="E466">
        <v>18</v>
      </c>
      <c r="F466" t="s">
        <v>14</v>
      </c>
      <c r="G466">
        <v>3</v>
      </c>
      <c r="H466">
        <v>50</v>
      </c>
      <c r="I466">
        <v>150</v>
      </c>
    </row>
    <row r="467" spans="1:9" x14ac:dyDescent="0.3">
      <c r="A467">
        <v>231</v>
      </c>
      <c r="B467" s="1">
        <v>44930</v>
      </c>
      <c r="C467" t="s">
        <v>244</v>
      </c>
      <c r="D467" t="s">
        <v>13</v>
      </c>
      <c r="E467">
        <v>23</v>
      </c>
      <c r="F467" t="s">
        <v>14</v>
      </c>
      <c r="G467">
        <v>3</v>
      </c>
      <c r="H467">
        <v>50</v>
      </c>
      <c r="I467">
        <v>150</v>
      </c>
    </row>
    <row r="468" spans="1:9" x14ac:dyDescent="0.3">
      <c r="A468">
        <v>748</v>
      </c>
      <c r="B468" s="1">
        <v>45005</v>
      </c>
      <c r="C468" t="s">
        <v>761</v>
      </c>
      <c r="D468" t="s">
        <v>10</v>
      </c>
      <c r="E468">
        <v>25</v>
      </c>
      <c r="F468" t="s">
        <v>14</v>
      </c>
      <c r="G468">
        <v>3</v>
      </c>
      <c r="H468">
        <v>50</v>
      </c>
      <c r="I468">
        <v>150</v>
      </c>
    </row>
    <row r="469" spans="1:9" x14ac:dyDescent="0.3">
      <c r="A469">
        <v>85</v>
      </c>
      <c r="B469" s="1">
        <v>44963</v>
      </c>
      <c r="C469" t="s">
        <v>98</v>
      </c>
      <c r="D469" t="s">
        <v>10</v>
      </c>
      <c r="E469">
        <v>31</v>
      </c>
      <c r="F469" t="s">
        <v>14</v>
      </c>
      <c r="G469">
        <v>3</v>
      </c>
      <c r="H469">
        <v>50</v>
      </c>
      <c r="I469">
        <v>150</v>
      </c>
    </row>
    <row r="470" spans="1:9" x14ac:dyDescent="0.3">
      <c r="A470">
        <v>471</v>
      </c>
      <c r="B470" s="1">
        <v>45008</v>
      </c>
      <c r="C470" t="s">
        <v>484</v>
      </c>
      <c r="D470" t="s">
        <v>10</v>
      </c>
      <c r="E470">
        <v>32</v>
      </c>
      <c r="F470" t="s">
        <v>14</v>
      </c>
      <c r="G470">
        <v>3</v>
      </c>
      <c r="H470">
        <v>50</v>
      </c>
      <c r="I470">
        <v>150</v>
      </c>
    </row>
    <row r="471" spans="1:9" x14ac:dyDescent="0.3">
      <c r="A471">
        <v>490</v>
      </c>
      <c r="B471" s="1">
        <v>44962</v>
      </c>
      <c r="C471" t="s">
        <v>503</v>
      </c>
      <c r="D471" t="s">
        <v>10</v>
      </c>
      <c r="E471">
        <v>34</v>
      </c>
      <c r="F471" t="s">
        <v>14</v>
      </c>
      <c r="G471">
        <v>3</v>
      </c>
      <c r="H471">
        <v>50</v>
      </c>
      <c r="I471">
        <v>150</v>
      </c>
    </row>
    <row r="472" spans="1:9" x14ac:dyDescent="0.3">
      <c r="A472">
        <v>623</v>
      </c>
      <c r="B472" s="1">
        <v>44995</v>
      </c>
      <c r="C472" t="s">
        <v>636</v>
      </c>
      <c r="D472" t="s">
        <v>10</v>
      </c>
      <c r="E472">
        <v>34</v>
      </c>
      <c r="F472" t="s">
        <v>14</v>
      </c>
      <c r="G472">
        <v>3</v>
      </c>
      <c r="H472">
        <v>50</v>
      </c>
      <c r="I472">
        <v>150</v>
      </c>
    </row>
    <row r="473" spans="1:9" x14ac:dyDescent="0.3">
      <c r="A473">
        <v>529</v>
      </c>
      <c r="B473" s="1">
        <v>45147</v>
      </c>
      <c r="C473" t="s">
        <v>542</v>
      </c>
      <c r="D473" t="s">
        <v>13</v>
      </c>
      <c r="E473">
        <v>35</v>
      </c>
      <c r="F473" t="s">
        <v>14</v>
      </c>
      <c r="G473">
        <v>3</v>
      </c>
      <c r="H473">
        <v>50</v>
      </c>
      <c r="I473">
        <v>150</v>
      </c>
    </row>
    <row r="474" spans="1:9" x14ac:dyDescent="0.3">
      <c r="A474">
        <v>844</v>
      </c>
      <c r="B474" s="1">
        <v>45211</v>
      </c>
      <c r="C474" t="s">
        <v>857</v>
      </c>
      <c r="D474" t="s">
        <v>10</v>
      </c>
      <c r="E474">
        <v>35</v>
      </c>
      <c r="F474" t="s">
        <v>14</v>
      </c>
      <c r="G474">
        <v>3</v>
      </c>
      <c r="H474">
        <v>50</v>
      </c>
      <c r="I474">
        <v>150</v>
      </c>
    </row>
    <row r="475" spans="1:9" x14ac:dyDescent="0.3">
      <c r="A475">
        <v>167</v>
      </c>
      <c r="B475" s="1">
        <v>45186</v>
      </c>
      <c r="C475" t="s">
        <v>180</v>
      </c>
      <c r="D475" t="s">
        <v>13</v>
      </c>
      <c r="E475">
        <v>43</v>
      </c>
      <c r="F475" t="s">
        <v>14</v>
      </c>
      <c r="G475">
        <v>3</v>
      </c>
      <c r="H475">
        <v>50</v>
      </c>
      <c r="I475">
        <v>150</v>
      </c>
    </row>
    <row r="476" spans="1:9" x14ac:dyDescent="0.3">
      <c r="A476">
        <v>34</v>
      </c>
      <c r="B476" s="1">
        <v>45284</v>
      </c>
      <c r="C476" t="s">
        <v>47</v>
      </c>
      <c r="D476" t="s">
        <v>13</v>
      </c>
      <c r="E476">
        <v>51</v>
      </c>
      <c r="F476" t="s">
        <v>14</v>
      </c>
      <c r="G476">
        <v>3</v>
      </c>
      <c r="H476">
        <v>50</v>
      </c>
      <c r="I476">
        <v>150</v>
      </c>
    </row>
    <row r="477" spans="1:9" x14ac:dyDescent="0.3">
      <c r="A477">
        <v>651</v>
      </c>
      <c r="B477" s="1">
        <v>45073</v>
      </c>
      <c r="C477" t="s">
        <v>664</v>
      </c>
      <c r="D477" t="s">
        <v>10</v>
      </c>
      <c r="E477">
        <v>51</v>
      </c>
      <c r="F477" t="s">
        <v>14</v>
      </c>
      <c r="G477">
        <v>3</v>
      </c>
      <c r="H477">
        <v>50</v>
      </c>
      <c r="I477">
        <v>150</v>
      </c>
    </row>
    <row r="478" spans="1:9" x14ac:dyDescent="0.3">
      <c r="A478">
        <v>978</v>
      </c>
      <c r="B478" s="1">
        <v>45007</v>
      </c>
      <c r="C478" t="s">
        <v>991</v>
      </c>
      <c r="D478" t="s">
        <v>13</v>
      </c>
      <c r="E478">
        <v>53</v>
      </c>
      <c r="F478" t="s">
        <v>14</v>
      </c>
      <c r="G478">
        <v>3</v>
      </c>
      <c r="H478">
        <v>50</v>
      </c>
      <c r="I478">
        <v>150</v>
      </c>
    </row>
    <row r="479" spans="1:9" x14ac:dyDescent="0.3">
      <c r="A479">
        <v>119</v>
      </c>
      <c r="B479" s="1">
        <v>44998</v>
      </c>
      <c r="C479" t="s">
        <v>132</v>
      </c>
      <c r="D479" t="s">
        <v>13</v>
      </c>
      <c r="E479">
        <v>60</v>
      </c>
      <c r="F479" t="s">
        <v>14</v>
      </c>
      <c r="G479">
        <v>3</v>
      </c>
      <c r="H479">
        <v>50</v>
      </c>
      <c r="I479">
        <v>150</v>
      </c>
    </row>
    <row r="480" spans="1:9" x14ac:dyDescent="0.3">
      <c r="A480">
        <v>724</v>
      </c>
      <c r="B480" s="1">
        <v>45035</v>
      </c>
      <c r="C480" t="s">
        <v>737</v>
      </c>
      <c r="D480" t="s">
        <v>10</v>
      </c>
      <c r="E480">
        <v>61</v>
      </c>
      <c r="F480" t="s">
        <v>14</v>
      </c>
      <c r="G480">
        <v>3</v>
      </c>
      <c r="H480">
        <v>50</v>
      </c>
      <c r="I480">
        <v>150</v>
      </c>
    </row>
    <row r="481" spans="1:9" x14ac:dyDescent="0.3">
      <c r="A481">
        <v>163</v>
      </c>
      <c r="B481" s="1">
        <v>44928</v>
      </c>
      <c r="C481" t="s">
        <v>176</v>
      </c>
      <c r="D481" t="s">
        <v>13</v>
      </c>
      <c r="E481">
        <v>64</v>
      </c>
      <c r="F481" t="s">
        <v>14</v>
      </c>
      <c r="G481">
        <v>3</v>
      </c>
      <c r="H481">
        <v>50</v>
      </c>
      <c r="I481">
        <v>150</v>
      </c>
    </row>
    <row r="482" spans="1:9" x14ac:dyDescent="0.3">
      <c r="A482">
        <v>830</v>
      </c>
      <c r="B482" s="1">
        <v>45099</v>
      </c>
      <c r="C482" t="s">
        <v>843</v>
      </c>
      <c r="D482" t="s">
        <v>13</v>
      </c>
      <c r="E482">
        <v>64</v>
      </c>
      <c r="F482" t="s">
        <v>14</v>
      </c>
      <c r="G482">
        <v>3</v>
      </c>
      <c r="H482">
        <v>50</v>
      </c>
      <c r="I482">
        <v>150</v>
      </c>
    </row>
    <row r="483" spans="1:9" x14ac:dyDescent="0.3">
      <c r="A483">
        <v>39</v>
      </c>
      <c r="B483" s="1">
        <v>45037</v>
      </c>
      <c r="C483" t="s">
        <v>52</v>
      </c>
      <c r="D483" t="s">
        <v>10</v>
      </c>
      <c r="E483">
        <v>23</v>
      </c>
      <c r="F483" t="s">
        <v>14</v>
      </c>
      <c r="G483">
        <v>4</v>
      </c>
      <c r="H483">
        <v>30</v>
      </c>
      <c r="I483">
        <v>120</v>
      </c>
    </row>
    <row r="484" spans="1:9" x14ac:dyDescent="0.3">
      <c r="A484">
        <v>288</v>
      </c>
      <c r="B484" s="1">
        <v>44952</v>
      </c>
      <c r="C484" t="s">
        <v>301</v>
      </c>
      <c r="D484" t="s">
        <v>10</v>
      </c>
      <c r="E484">
        <v>28</v>
      </c>
      <c r="F484" t="s">
        <v>14</v>
      </c>
      <c r="G484">
        <v>4</v>
      </c>
      <c r="H484">
        <v>30</v>
      </c>
      <c r="I484">
        <v>120</v>
      </c>
    </row>
    <row r="485" spans="1:9" x14ac:dyDescent="0.3">
      <c r="A485">
        <v>301</v>
      </c>
      <c r="B485" s="1">
        <v>45011</v>
      </c>
      <c r="C485" t="s">
        <v>314</v>
      </c>
      <c r="D485" t="s">
        <v>10</v>
      </c>
      <c r="E485">
        <v>30</v>
      </c>
      <c r="F485" t="s">
        <v>14</v>
      </c>
      <c r="G485">
        <v>4</v>
      </c>
      <c r="H485">
        <v>30</v>
      </c>
      <c r="I485">
        <v>120</v>
      </c>
    </row>
    <row r="486" spans="1:9" x14ac:dyDescent="0.3">
      <c r="A486">
        <v>23</v>
      </c>
      <c r="B486" s="1">
        <v>45028</v>
      </c>
      <c r="C486" t="s">
        <v>36</v>
      </c>
      <c r="D486" t="s">
        <v>13</v>
      </c>
      <c r="E486">
        <v>35</v>
      </c>
      <c r="F486" t="s">
        <v>14</v>
      </c>
      <c r="G486">
        <v>4</v>
      </c>
      <c r="H486">
        <v>30</v>
      </c>
      <c r="I486">
        <v>120</v>
      </c>
    </row>
    <row r="487" spans="1:9" x14ac:dyDescent="0.3">
      <c r="A487">
        <v>699</v>
      </c>
      <c r="B487" s="1">
        <v>45099</v>
      </c>
      <c r="C487" t="s">
        <v>712</v>
      </c>
      <c r="D487" t="s">
        <v>13</v>
      </c>
      <c r="E487">
        <v>37</v>
      </c>
      <c r="F487" t="s">
        <v>14</v>
      </c>
      <c r="G487">
        <v>4</v>
      </c>
      <c r="H487">
        <v>30</v>
      </c>
      <c r="I487">
        <v>120</v>
      </c>
    </row>
    <row r="488" spans="1:9" x14ac:dyDescent="0.3">
      <c r="A488">
        <v>312</v>
      </c>
      <c r="B488" s="1">
        <v>45176</v>
      </c>
      <c r="C488" t="s">
        <v>325</v>
      </c>
      <c r="D488" t="s">
        <v>10</v>
      </c>
      <c r="E488">
        <v>41</v>
      </c>
      <c r="F488" t="s">
        <v>14</v>
      </c>
      <c r="G488">
        <v>4</v>
      </c>
      <c r="H488">
        <v>30</v>
      </c>
      <c r="I488">
        <v>120</v>
      </c>
    </row>
    <row r="489" spans="1:9" x14ac:dyDescent="0.3">
      <c r="A489">
        <v>497</v>
      </c>
      <c r="B489" s="1">
        <v>45201</v>
      </c>
      <c r="C489" t="s">
        <v>510</v>
      </c>
      <c r="D489" t="s">
        <v>10</v>
      </c>
      <c r="E489">
        <v>41</v>
      </c>
      <c r="F489" t="s">
        <v>14</v>
      </c>
      <c r="G489">
        <v>4</v>
      </c>
      <c r="H489">
        <v>30</v>
      </c>
      <c r="I489">
        <v>120</v>
      </c>
    </row>
    <row r="490" spans="1:9" x14ac:dyDescent="0.3">
      <c r="A490">
        <v>477</v>
      </c>
      <c r="B490" s="1">
        <v>45040</v>
      </c>
      <c r="C490" t="s">
        <v>490</v>
      </c>
      <c r="D490" t="s">
        <v>10</v>
      </c>
      <c r="E490">
        <v>43</v>
      </c>
      <c r="F490" t="s">
        <v>14</v>
      </c>
      <c r="G490">
        <v>4</v>
      </c>
      <c r="H490">
        <v>30</v>
      </c>
      <c r="I490">
        <v>120</v>
      </c>
    </row>
    <row r="491" spans="1:9" x14ac:dyDescent="0.3">
      <c r="A491">
        <v>876</v>
      </c>
      <c r="B491" s="1">
        <v>45208</v>
      </c>
      <c r="C491" t="s">
        <v>889</v>
      </c>
      <c r="D491" t="s">
        <v>10</v>
      </c>
      <c r="E491">
        <v>43</v>
      </c>
      <c r="F491" t="s">
        <v>14</v>
      </c>
      <c r="G491">
        <v>4</v>
      </c>
      <c r="H491">
        <v>30</v>
      </c>
      <c r="I491">
        <v>120</v>
      </c>
    </row>
    <row r="492" spans="1:9" x14ac:dyDescent="0.3">
      <c r="A492">
        <v>521</v>
      </c>
      <c r="B492" s="1">
        <v>45150</v>
      </c>
      <c r="C492" t="s">
        <v>534</v>
      </c>
      <c r="D492" t="s">
        <v>13</v>
      </c>
      <c r="E492">
        <v>47</v>
      </c>
      <c r="F492" t="s">
        <v>14</v>
      </c>
      <c r="G492">
        <v>4</v>
      </c>
      <c r="H492">
        <v>30</v>
      </c>
      <c r="I492">
        <v>120</v>
      </c>
    </row>
    <row r="493" spans="1:9" x14ac:dyDescent="0.3">
      <c r="A493">
        <v>222</v>
      </c>
      <c r="B493" s="1">
        <v>45042</v>
      </c>
      <c r="C493" t="s">
        <v>235</v>
      </c>
      <c r="D493" t="s">
        <v>10</v>
      </c>
      <c r="E493">
        <v>51</v>
      </c>
      <c r="F493" t="s">
        <v>14</v>
      </c>
      <c r="G493">
        <v>4</v>
      </c>
      <c r="H493">
        <v>30</v>
      </c>
      <c r="I493">
        <v>120</v>
      </c>
    </row>
    <row r="494" spans="1:9" x14ac:dyDescent="0.3">
      <c r="A494">
        <v>314</v>
      </c>
      <c r="B494" s="1">
        <v>45024</v>
      </c>
      <c r="C494" t="s">
        <v>327</v>
      </c>
      <c r="D494" t="s">
        <v>10</v>
      </c>
      <c r="E494">
        <v>52</v>
      </c>
      <c r="F494" t="s">
        <v>14</v>
      </c>
      <c r="G494">
        <v>4</v>
      </c>
      <c r="H494">
        <v>30</v>
      </c>
      <c r="I494">
        <v>120</v>
      </c>
    </row>
    <row r="495" spans="1:9" x14ac:dyDescent="0.3">
      <c r="A495">
        <v>885</v>
      </c>
      <c r="B495" s="1">
        <v>44988</v>
      </c>
      <c r="C495" t="s">
        <v>898</v>
      </c>
      <c r="D495" t="s">
        <v>13</v>
      </c>
      <c r="E495">
        <v>52</v>
      </c>
      <c r="F495" t="s">
        <v>14</v>
      </c>
      <c r="G495">
        <v>4</v>
      </c>
      <c r="H495">
        <v>30</v>
      </c>
      <c r="I495">
        <v>120</v>
      </c>
    </row>
    <row r="496" spans="1:9" x14ac:dyDescent="0.3">
      <c r="A496">
        <v>578</v>
      </c>
      <c r="B496" s="1">
        <v>45072</v>
      </c>
      <c r="C496" t="s">
        <v>591</v>
      </c>
      <c r="D496" t="s">
        <v>13</v>
      </c>
      <c r="E496">
        <v>54</v>
      </c>
      <c r="F496" t="s">
        <v>14</v>
      </c>
      <c r="G496">
        <v>4</v>
      </c>
      <c r="H496">
        <v>30</v>
      </c>
      <c r="I496">
        <v>120</v>
      </c>
    </row>
    <row r="497" spans="1:9" x14ac:dyDescent="0.3">
      <c r="A497">
        <v>895</v>
      </c>
      <c r="B497" s="1">
        <v>45068</v>
      </c>
      <c r="C497" t="s">
        <v>908</v>
      </c>
      <c r="D497" t="s">
        <v>13</v>
      </c>
      <c r="E497">
        <v>55</v>
      </c>
      <c r="F497" t="s">
        <v>14</v>
      </c>
      <c r="G497">
        <v>4</v>
      </c>
      <c r="H497">
        <v>30</v>
      </c>
      <c r="I497">
        <v>120</v>
      </c>
    </row>
    <row r="498" spans="1:9" x14ac:dyDescent="0.3">
      <c r="A498">
        <v>436</v>
      </c>
      <c r="B498" s="1">
        <v>45003</v>
      </c>
      <c r="C498" t="s">
        <v>449</v>
      </c>
      <c r="D498" t="s">
        <v>13</v>
      </c>
      <c r="E498">
        <v>57</v>
      </c>
      <c r="F498" t="s">
        <v>14</v>
      </c>
      <c r="G498">
        <v>4</v>
      </c>
      <c r="H498">
        <v>30</v>
      </c>
      <c r="I498">
        <v>120</v>
      </c>
    </row>
    <row r="499" spans="1:9" x14ac:dyDescent="0.3">
      <c r="A499">
        <v>824</v>
      </c>
      <c r="B499" s="1">
        <v>45051</v>
      </c>
      <c r="C499" t="s">
        <v>837</v>
      </c>
      <c r="D499" t="s">
        <v>10</v>
      </c>
      <c r="E499">
        <v>63</v>
      </c>
      <c r="F499" t="s">
        <v>14</v>
      </c>
      <c r="G499">
        <v>4</v>
      </c>
      <c r="H499">
        <v>30</v>
      </c>
      <c r="I499">
        <v>120</v>
      </c>
    </row>
    <row r="500" spans="1:9" x14ac:dyDescent="0.3">
      <c r="A500">
        <v>14</v>
      </c>
      <c r="B500" s="1">
        <v>44943</v>
      </c>
      <c r="C500" t="s">
        <v>27</v>
      </c>
      <c r="D500" t="s">
        <v>10</v>
      </c>
      <c r="E500">
        <v>64</v>
      </c>
      <c r="F500" t="s">
        <v>14</v>
      </c>
      <c r="G500">
        <v>4</v>
      </c>
      <c r="H500">
        <v>30</v>
      </c>
      <c r="I500">
        <v>120</v>
      </c>
    </row>
    <row r="501" spans="1:9" x14ac:dyDescent="0.3">
      <c r="A501">
        <v>532</v>
      </c>
      <c r="B501" s="1">
        <v>45096</v>
      </c>
      <c r="C501" t="s">
        <v>545</v>
      </c>
      <c r="D501" t="s">
        <v>13</v>
      </c>
      <c r="E501">
        <v>64</v>
      </c>
      <c r="F501" t="s">
        <v>14</v>
      </c>
      <c r="G501">
        <v>4</v>
      </c>
      <c r="H501">
        <v>30</v>
      </c>
      <c r="I501">
        <v>120</v>
      </c>
    </row>
    <row r="502" spans="1:9" x14ac:dyDescent="0.3">
      <c r="A502">
        <v>22</v>
      </c>
      <c r="B502" s="1">
        <v>45214</v>
      </c>
      <c r="C502" t="s">
        <v>35</v>
      </c>
      <c r="D502" t="s">
        <v>10</v>
      </c>
      <c r="E502">
        <v>18</v>
      </c>
      <c r="F502" t="s">
        <v>14</v>
      </c>
      <c r="G502">
        <v>2</v>
      </c>
      <c r="H502">
        <v>50</v>
      </c>
      <c r="I502">
        <v>100</v>
      </c>
    </row>
    <row r="503" spans="1:9" x14ac:dyDescent="0.3">
      <c r="A503">
        <v>11</v>
      </c>
      <c r="B503" s="1">
        <v>44971</v>
      </c>
      <c r="C503" t="s">
        <v>24</v>
      </c>
      <c r="D503" t="s">
        <v>10</v>
      </c>
      <c r="E503">
        <v>23</v>
      </c>
      <c r="F503" t="s">
        <v>14</v>
      </c>
      <c r="G503">
        <v>2</v>
      </c>
      <c r="H503">
        <v>50</v>
      </c>
      <c r="I503">
        <v>100</v>
      </c>
    </row>
    <row r="504" spans="1:9" x14ac:dyDescent="0.3">
      <c r="A504">
        <v>17</v>
      </c>
      <c r="B504" s="1">
        <v>45038</v>
      </c>
      <c r="C504" t="s">
        <v>30</v>
      </c>
      <c r="D504" t="s">
        <v>13</v>
      </c>
      <c r="E504">
        <v>27</v>
      </c>
      <c r="F504" t="s">
        <v>14</v>
      </c>
      <c r="G504">
        <v>4</v>
      </c>
      <c r="H504">
        <v>25</v>
      </c>
      <c r="I504">
        <v>100</v>
      </c>
    </row>
    <row r="505" spans="1:9" x14ac:dyDescent="0.3">
      <c r="A505">
        <v>410</v>
      </c>
      <c r="B505" s="1">
        <v>45251</v>
      </c>
      <c r="C505" t="s">
        <v>423</v>
      </c>
      <c r="D505" t="s">
        <v>13</v>
      </c>
      <c r="E505">
        <v>29</v>
      </c>
      <c r="F505" t="s">
        <v>14</v>
      </c>
      <c r="G505">
        <v>2</v>
      </c>
      <c r="H505">
        <v>50</v>
      </c>
      <c r="I505">
        <v>100</v>
      </c>
    </row>
    <row r="506" spans="1:9" x14ac:dyDescent="0.3">
      <c r="A506">
        <v>736</v>
      </c>
      <c r="B506" s="1">
        <v>44953</v>
      </c>
      <c r="C506" t="s">
        <v>749</v>
      </c>
      <c r="D506" t="s">
        <v>10</v>
      </c>
      <c r="E506">
        <v>29</v>
      </c>
      <c r="F506" t="s">
        <v>14</v>
      </c>
      <c r="G506">
        <v>4</v>
      </c>
      <c r="H506">
        <v>25</v>
      </c>
      <c r="I506">
        <v>100</v>
      </c>
    </row>
    <row r="507" spans="1:9" x14ac:dyDescent="0.3">
      <c r="A507">
        <v>752</v>
      </c>
      <c r="B507" s="1">
        <v>45269</v>
      </c>
      <c r="C507" t="s">
        <v>765</v>
      </c>
      <c r="D507" t="s">
        <v>10</v>
      </c>
      <c r="E507">
        <v>29</v>
      </c>
      <c r="F507" t="s">
        <v>14</v>
      </c>
      <c r="G507">
        <v>2</v>
      </c>
      <c r="H507">
        <v>50</v>
      </c>
      <c r="I507">
        <v>100</v>
      </c>
    </row>
    <row r="508" spans="1:9" x14ac:dyDescent="0.3">
      <c r="A508">
        <v>526</v>
      </c>
      <c r="B508" s="1">
        <v>45270</v>
      </c>
      <c r="C508" t="s">
        <v>539</v>
      </c>
      <c r="D508" t="s">
        <v>10</v>
      </c>
      <c r="E508">
        <v>33</v>
      </c>
      <c r="F508" t="s">
        <v>14</v>
      </c>
      <c r="G508">
        <v>2</v>
      </c>
      <c r="H508">
        <v>50</v>
      </c>
      <c r="I508">
        <v>100</v>
      </c>
    </row>
    <row r="509" spans="1:9" x14ac:dyDescent="0.3">
      <c r="A509">
        <v>991</v>
      </c>
      <c r="B509" s="1">
        <v>45286</v>
      </c>
      <c r="C509" t="s">
        <v>1004</v>
      </c>
      <c r="D509" t="s">
        <v>13</v>
      </c>
      <c r="E509">
        <v>34</v>
      </c>
      <c r="F509" t="s">
        <v>14</v>
      </c>
      <c r="G509">
        <v>2</v>
      </c>
      <c r="H509">
        <v>50</v>
      </c>
      <c r="I509">
        <v>100</v>
      </c>
    </row>
    <row r="510" spans="1:9" x14ac:dyDescent="0.3">
      <c r="A510">
        <v>277</v>
      </c>
      <c r="B510" s="1">
        <v>45156</v>
      </c>
      <c r="C510" t="s">
        <v>290</v>
      </c>
      <c r="D510" t="s">
        <v>10</v>
      </c>
      <c r="E510">
        <v>36</v>
      </c>
      <c r="F510" t="s">
        <v>14</v>
      </c>
      <c r="G510">
        <v>4</v>
      </c>
      <c r="H510">
        <v>25</v>
      </c>
      <c r="I510">
        <v>100</v>
      </c>
    </row>
    <row r="511" spans="1:9" x14ac:dyDescent="0.3">
      <c r="A511">
        <v>278</v>
      </c>
      <c r="B511" s="1">
        <v>44998</v>
      </c>
      <c r="C511" t="s">
        <v>291</v>
      </c>
      <c r="D511" t="s">
        <v>13</v>
      </c>
      <c r="E511">
        <v>37</v>
      </c>
      <c r="F511" t="s">
        <v>14</v>
      </c>
      <c r="G511">
        <v>4</v>
      </c>
      <c r="H511">
        <v>25</v>
      </c>
      <c r="I511">
        <v>100</v>
      </c>
    </row>
    <row r="512" spans="1:9" x14ac:dyDescent="0.3">
      <c r="A512">
        <v>803</v>
      </c>
      <c r="B512" s="1">
        <v>45252</v>
      </c>
      <c r="C512" t="s">
        <v>816</v>
      </c>
      <c r="D512" t="s">
        <v>10</v>
      </c>
      <c r="E512">
        <v>39</v>
      </c>
      <c r="F512" t="s">
        <v>14</v>
      </c>
      <c r="G512">
        <v>4</v>
      </c>
      <c r="H512">
        <v>25</v>
      </c>
      <c r="I512">
        <v>100</v>
      </c>
    </row>
    <row r="513" spans="1:9" x14ac:dyDescent="0.3">
      <c r="A513">
        <v>616</v>
      </c>
      <c r="B513" s="1">
        <v>45192</v>
      </c>
      <c r="C513" t="s">
        <v>629</v>
      </c>
      <c r="D513" t="s">
        <v>10</v>
      </c>
      <c r="E513">
        <v>41</v>
      </c>
      <c r="F513" t="s">
        <v>14</v>
      </c>
      <c r="G513">
        <v>2</v>
      </c>
      <c r="H513">
        <v>50</v>
      </c>
      <c r="I513">
        <v>100</v>
      </c>
    </row>
    <row r="514" spans="1:9" x14ac:dyDescent="0.3">
      <c r="A514">
        <v>738</v>
      </c>
      <c r="B514" s="1">
        <v>45041</v>
      </c>
      <c r="C514" t="s">
        <v>751</v>
      </c>
      <c r="D514" t="s">
        <v>10</v>
      </c>
      <c r="E514">
        <v>41</v>
      </c>
      <c r="F514" t="s">
        <v>14</v>
      </c>
      <c r="G514">
        <v>2</v>
      </c>
      <c r="H514">
        <v>50</v>
      </c>
      <c r="I514">
        <v>100</v>
      </c>
    </row>
    <row r="515" spans="1:9" x14ac:dyDescent="0.3">
      <c r="A515">
        <v>360</v>
      </c>
      <c r="B515" s="1">
        <v>44994</v>
      </c>
      <c r="C515" t="s">
        <v>373</v>
      </c>
      <c r="D515" t="s">
        <v>10</v>
      </c>
      <c r="E515">
        <v>42</v>
      </c>
      <c r="F515" t="s">
        <v>14</v>
      </c>
      <c r="G515">
        <v>4</v>
      </c>
      <c r="H515">
        <v>25</v>
      </c>
      <c r="I515">
        <v>100</v>
      </c>
    </row>
    <row r="516" spans="1:9" x14ac:dyDescent="0.3">
      <c r="A516">
        <v>630</v>
      </c>
      <c r="B516" s="1">
        <v>45153</v>
      </c>
      <c r="C516" t="s">
        <v>643</v>
      </c>
      <c r="D516" t="s">
        <v>10</v>
      </c>
      <c r="E516">
        <v>42</v>
      </c>
      <c r="F516" t="s">
        <v>14</v>
      </c>
      <c r="G516">
        <v>2</v>
      </c>
      <c r="H516">
        <v>50</v>
      </c>
      <c r="I516">
        <v>100</v>
      </c>
    </row>
    <row r="517" spans="1:9" x14ac:dyDescent="0.3">
      <c r="A517">
        <v>156</v>
      </c>
      <c r="B517" s="1">
        <v>45255</v>
      </c>
      <c r="C517" t="s">
        <v>169</v>
      </c>
      <c r="D517" t="s">
        <v>13</v>
      </c>
      <c r="E517">
        <v>43</v>
      </c>
      <c r="F517" t="s">
        <v>14</v>
      </c>
      <c r="G517">
        <v>4</v>
      </c>
      <c r="H517">
        <v>25</v>
      </c>
      <c r="I517">
        <v>100</v>
      </c>
    </row>
    <row r="518" spans="1:9" x14ac:dyDescent="0.3">
      <c r="A518">
        <v>160</v>
      </c>
      <c r="B518" s="1">
        <v>45149</v>
      </c>
      <c r="C518" t="s">
        <v>173</v>
      </c>
      <c r="D518" t="s">
        <v>13</v>
      </c>
      <c r="E518">
        <v>43</v>
      </c>
      <c r="F518" t="s">
        <v>14</v>
      </c>
      <c r="G518">
        <v>2</v>
      </c>
      <c r="H518">
        <v>50</v>
      </c>
      <c r="I518">
        <v>100</v>
      </c>
    </row>
    <row r="519" spans="1:9" x14ac:dyDescent="0.3">
      <c r="A519">
        <v>381</v>
      </c>
      <c r="B519" s="1">
        <v>45116</v>
      </c>
      <c r="C519" t="s">
        <v>394</v>
      </c>
      <c r="D519" t="s">
        <v>13</v>
      </c>
      <c r="E519">
        <v>44</v>
      </c>
      <c r="F519" t="s">
        <v>14</v>
      </c>
      <c r="G519">
        <v>4</v>
      </c>
      <c r="H519">
        <v>25</v>
      </c>
      <c r="I519">
        <v>100</v>
      </c>
    </row>
    <row r="520" spans="1:9" x14ac:dyDescent="0.3">
      <c r="A520">
        <v>661</v>
      </c>
      <c r="B520" s="1">
        <v>45123</v>
      </c>
      <c r="C520" t="s">
        <v>674</v>
      </c>
      <c r="D520" t="s">
        <v>13</v>
      </c>
      <c r="E520">
        <v>44</v>
      </c>
      <c r="F520" t="s">
        <v>14</v>
      </c>
      <c r="G520">
        <v>4</v>
      </c>
      <c r="H520">
        <v>25</v>
      </c>
      <c r="I520">
        <v>100</v>
      </c>
    </row>
    <row r="521" spans="1:9" x14ac:dyDescent="0.3">
      <c r="A521">
        <v>77</v>
      </c>
      <c r="B521" s="1">
        <v>45116</v>
      </c>
      <c r="C521" t="s">
        <v>90</v>
      </c>
      <c r="D521" t="s">
        <v>13</v>
      </c>
      <c r="E521">
        <v>47</v>
      </c>
      <c r="F521" t="s">
        <v>14</v>
      </c>
      <c r="G521">
        <v>2</v>
      </c>
      <c r="H521">
        <v>50</v>
      </c>
      <c r="I521">
        <v>100</v>
      </c>
    </row>
    <row r="522" spans="1:9" x14ac:dyDescent="0.3">
      <c r="A522">
        <v>517</v>
      </c>
      <c r="B522" s="1">
        <v>45024</v>
      </c>
      <c r="C522" t="s">
        <v>530</v>
      </c>
      <c r="D522" t="s">
        <v>13</v>
      </c>
      <c r="E522">
        <v>47</v>
      </c>
      <c r="F522" t="s">
        <v>14</v>
      </c>
      <c r="G522">
        <v>4</v>
      </c>
      <c r="H522">
        <v>25</v>
      </c>
      <c r="I522">
        <v>100</v>
      </c>
    </row>
    <row r="523" spans="1:9" x14ac:dyDescent="0.3">
      <c r="A523">
        <v>609</v>
      </c>
      <c r="B523" s="1">
        <v>45279</v>
      </c>
      <c r="C523" t="s">
        <v>622</v>
      </c>
      <c r="D523" t="s">
        <v>13</v>
      </c>
      <c r="E523">
        <v>47</v>
      </c>
      <c r="F523" t="s">
        <v>14</v>
      </c>
      <c r="G523">
        <v>2</v>
      </c>
      <c r="H523">
        <v>50</v>
      </c>
      <c r="I523">
        <v>100</v>
      </c>
    </row>
    <row r="524" spans="1:9" x14ac:dyDescent="0.3">
      <c r="A524">
        <v>125</v>
      </c>
      <c r="B524" s="1">
        <v>45146</v>
      </c>
      <c r="C524" t="s">
        <v>138</v>
      </c>
      <c r="D524" t="s">
        <v>10</v>
      </c>
      <c r="E524">
        <v>48</v>
      </c>
      <c r="F524" t="s">
        <v>14</v>
      </c>
      <c r="G524">
        <v>2</v>
      </c>
      <c r="H524">
        <v>50</v>
      </c>
      <c r="I524">
        <v>100</v>
      </c>
    </row>
    <row r="525" spans="1:9" x14ac:dyDescent="0.3">
      <c r="A525">
        <v>786</v>
      </c>
      <c r="B525" s="1">
        <v>45216</v>
      </c>
      <c r="C525" t="s">
        <v>799</v>
      </c>
      <c r="D525" t="s">
        <v>10</v>
      </c>
      <c r="E525">
        <v>48</v>
      </c>
      <c r="F525" t="s">
        <v>14</v>
      </c>
      <c r="G525">
        <v>4</v>
      </c>
      <c r="H525">
        <v>25</v>
      </c>
      <c r="I525">
        <v>100</v>
      </c>
    </row>
    <row r="526" spans="1:9" x14ac:dyDescent="0.3">
      <c r="A526">
        <v>64</v>
      </c>
      <c r="B526" s="1">
        <v>44950</v>
      </c>
      <c r="C526" t="s">
        <v>77</v>
      </c>
      <c r="D526" t="s">
        <v>10</v>
      </c>
      <c r="E526">
        <v>49</v>
      </c>
      <c r="F526" t="s">
        <v>14</v>
      </c>
      <c r="G526">
        <v>4</v>
      </c>
      <c r="H526">
        <v>25</v>
      </c>
      <c r="I526">
        <v>100</v>
      </c>
    </row>
    <row r="527" spans="1:9" x14ac:dyDescent="0.3">
      <c r="A527">
        <v>498</v>
      </c>
      <c r="B527" s="1">
        <v>45096</v>
      </c>
      <c r="C527" t="s">
        <v>511</v>
      </c>
      <c r="D527" t="s">
        <v>13</v>
      </c>
      <c r="E527">
        <v>50</v>
      </c>
      <c r="F527" t="s">
        <v>14</v>
      </c>
      <c r="G527">
        <v>4</v>
      </c>
      <c r="H527">
        <v>25</v>
      </c>
      <c r="I527">
        <v>100</v>
      </c>
    </row>
    <row r="528" spans="1:9" x14ac:dyDescent="0.3">
      <c r="A528">
        <v>287</v>
      </c>
      <c r="B528" s="1">
        <v>44977</v>
      </c>
      <c r="C528" t="s">
        <v>300</v>
      </c>
      <c r="D528" t="s">
        <v>10</v>
      </c>
      <c r="E528">
        <v>54</v>
      </c>
      <c r="F528" t="s">
        <v>14</v>
      </c>
      <c r="G528">
        <v>4</v>
      </c>
      <c r="H528">
        <v>25</v>
      </c>
      <c r="I528">
        <v>100</v>
      </c>
    </row>
    <row r="529" spans="1:9" x14ac:dyDescent="0.3">
      <c r="A529">
        <v>642</v>
      </c>
      <c r="B529" s="1">
        <v>45068</v>
      </c>
      <c r="C529" t="s">
        <v>655</v>
      </c>
      <c r="D529" t="s">
        <v>13</v>
      </c>
      <c r="E529">
        <v>54</v>
      </c>
      <c r="F529" t="s">
        <v>14</v>
      </c>
      <c r="G529">
        <v>4</v>
      </c>
      <c r="H529">
        <v>25</v>
      </c>
      <c r="I529">
        <v>100</v>
      </c>
    </row>
    <row r="530" spans="1:9" x14ac:dyDescent="0.3">
      <c r="A530">
        <v>688</v>
      </c>
      <c r="B530" s="1">
        <v>45202</v>
      </c>
      <c r="C530" t="s">
        <v>701</v>
      </c>
      <c r="D530" t="s">
        <v>10</v>
      </c>
      <c r="E530">
        <v>56</v>
      </c>
      <c r="F530" t="s">
        <v>14</v>
      </c>
      <c r="G530">
        <v>4</v>
      </c>
      <c r="H530">
        <v>25</v>
      </c>
      <c r="I530">
        <v>100</v>
      </c>
    </row>
    <row r="531" spans="1:9" x14ac:dyDescent="0.3">
      <c r="A531">
        <v>366</v>
      </c>
      <c r="B531" s="1">
        <v>44964</v>
      </c>
      <c r="C531" t="s">
        <v>379</v>
      </c>
      <c r="D531" t="s">
        <v>10</v>
      </c>
      <c r="E531">
        <v>57</v>
      </c>
      <c r="F531" t="s">
        <v>14</v>
      </c>
      <c r="G531">
        <v>2</v>
      </c>
      <c r="H531">
        <v>50</v>
      </c>
      <c r="I531">
        <v>100</v>
      </c>
    </row>
    <row r="532" spans="1:9" x14ac:dyDescent="0.3">
      <c r="A532">
        <v>887</v>
      </c>
      <c r="B532" s="1">
        <v>45088</v>
      </c>
      <c r="C532" t="s">
        <v>900</v>
      </c>
      <c r="D532" t="s">
        <v>10</v>
      </c>
      <c r="E532">
        <v>59</v>
      </c>
      <c r="F532" t="s">
        <v>14</v>
      </c>
      <c r="G532">
        <v>4</v>
      </c>
      <c r="H532">
        <v>25</v>
      </c>
      <c r="I532">
        <v>100</v>
      </c>
    </row>
    <row r="533" spans="1:9" x14ac:dyDescent="0.3">
      <c r="A533">
        <v>442</v>
      </c>
      <c r="B533" s="1">
        <v>45002</v>
      </c>
      <c r="C533" t="s">
        <v>455</v>
      </c>
      <c r="D533" t="s">
        <v>13</v>
      </c>
      <c r="E533">
        <v>60</v>
      </c>
      <c r="F533" t="s">
        <v>14</v>
      </c>
      <c r="G533">
        <v>4</v>
      </c>
      <c r="H533">
        <v>25</v>
      </c>
      <c r="I533">
        <v>100</v>
      </c>
    </row>
    <row r="534" spans="1:9" x14ac:dyDescent="0.3">
      <c r="A534">
        <v>575</v>
      </c>
      <c r="B534" s="1">
        <v>45013</v>
      </c>
      <c r="C534" t="s">
        <v>588</v>
      </c>
      <c r="D534" t="s">
        <v>10</v>
      </c>
      <c r="E534">
        <v>60</v>
      </c>
      <c r="F534" t="s">
        <v>14</v>
      </c>
      <c r="G534">
        <v>2</v>
      </c>
      <c r="H534">
        <v>50</v>
      </c>
      <c r="I534">
        <v>100</v>
      </c>
    </row>
    <row r="535" spans="1:9" x14ac:dyDescent="0.3">
      <c r="A535">
        <v>615</v>
      </c>
      <c r="B535" s="1">
        <v>45283</v>
      </c>
      <c r="C535" t="s">
        <v>628</v>
      </c>
      <c r="D535" t="s">
        <v>13</v>
      </c>
      <c r="E535">
        <v>61</v>
      </c>
      <c r="F535" t="s">
        <v>14</v>
      </c>
      <c r="G535">
        <v>4</v>
      </c>
      <c r="H535">
        <v>25</v>
      </c>
      <c r="I535">
        <v>100</v>
      </c>
    </row>
    <row r="536" spans="1:9" x14ac:dyDescent="0.3">
      <c r="A536">
        <v>187</v>
      </c>
      <c r="B536" s="1">
        <v>45084</v>
      </c>
      <c r="C536" t="s">
        <v>200</v>
      </c>
      <c r="D536" t="s">
        <v>13</v>
      </c>
      <c r="E536">
        <v>64</v>
      </c>
      <c r="F536" t="s">
        <v>14</v>
      </c>
      <c r="G536">
        <v>2</v>
      </c>
      <c r="H536">
        <v>50</v>
      </c>
      <c r="I536">
        <v>100</v>
      </c>
    </row>
    <row r="537" spans="1:9" x14ac:dyDescent="0.3">
      <c r="A537">
        <v>692</v>
      </c>
      <c r="B537" s="1">
        <v>45176</v>
      </c>
      <c r="C537" t="s">
        <v>705</v>
      </c>
      <c r="D537" t="s">
        <v>13</v>
      </c>
      <c r="E537">
        <v>64</v>
      </c>
      <c r="F537" t="s">
        <v>14</v>
      </c>
      <c r="G537">
        <v>2</v>
      </c>
      <c r="H537">
        <v>50</v>
      </c>
      <c r="I537">
        <v>100</v>
      </c>
    </row>
    <row r="538" spans="1:9" x14ac:dyDescent="0.3">
      <c r="A538">
        <v>758</v>
      </c>
      <c r="B538" s="1">
        <v>45058</v>
      </c>
      <c r="C538" t="s">
        <v>771</v>
      </c>
      <c r="D538" t="s">
        <v>10</v>
      </c>
      <c r="E538">
        <v>64</v>
      </c>
      <c r="F538" t="s">
        <v>14</v>
      </c>
      <c r="G538">
        <v>4</v>
      </c>
      <c r="H538">
        <v>25</v>
      </c>
      <c r="I538">
        <v>100</v>
      </c>
    </row>
    <row r="539" spans="1:9" x14ac:dyDescent="0.3">
      <c r="A539">
        <v>294</v>
      </c>
      <c r="B539" s="1">
        <v>45012</v>
      </c>
      <c r="C539" t="s">
        <v>307</v>
      </c>
      <c r="D539" t="s">
        <v>13</v>
      </c>
      <c r="E539">
        <v>23</v>
      </c>
      <c r="F539" t="s">
        <v>14</v>
      </c>
      <c r="G539">
        <v>3</v>
      </c>
      <c r="H539">
        <v>30</v>
      </c>
      <c r="I539">
        <v>90</v>
      </c>
    </row>
    <row r="540" spans="1:9" x14ac:dyDescent="0.3">
      <c r="A540">
        <v>126</v>
      </c>
      <c r="B540" s="1">
        <v>45225</v>
      </c>
      <c r="C540" t="s">
        <v>139</v>
      </c>
      <c r="D540" t="s">
        <v>13</v>
      </c>
      <c r="E540">
        <v>28</v>
      </c>
      <c r="F540" t="s">
        <v>14</v>
      </c>
      <c r="G540">
        <v>3</v>
      </c>
      <c r="H540">
        <v>30</v>
      </c>
      <c r="I540">
        <v>90</v>
      </c>
    </row>
    <row r="541" spans="1:9" x14ac:dyDescent="0.3">
      <c r="A541">
        <v>422</v>
      </c>
      <c r="B541" s="1">
        <v>45097</v>
      </c>
      <c r="C541" t="s">
        <v>435</v>
      </c>
      <c r="D541" t="s">
        <v>13</v>
      </c>
      <c r="E541">
        <v>28</v>
      </c>
      <c r="F541" t="s">
        <v>14</v>
      </c>
      <c r="G541">
        <v>3</v>
      </c>
      <c r="H541">
        <v>30</v>
      </c>
      <c r="I541">
        <v>90</v>
      </c>
    </row>
    <row r="542" spans="1:9" x14ac:dyDescent="0.3">
      <c r="A542">
        <v>746</v>
      </c>
      <c r="B542" s="1">
        <v>44937</v>
      </c>
      <c r="C542" t="s">
        <v>759</v>
      </c>
      <c r="D542" t="s">
        <v>13</v>
      </c>
      <c r="E542">
        <v>33</v>
      </c>
      <c r="F542" t="s">
        <v>14</v>
      </c>
      <c r="G542">
        <v>3</v>
      </c>
      <c r="H542">
        <v>30</v>
      </c>
      <c r="I542">
        <v>90</v>
      </c>
    </row>
    <row r="543" spans="1:9" x14ac:dyDescent="0.3">
      <c r="A543">
        <v>776</v>
      </c>
      <c r="B543" s="1">
        <v>45230</v>
      </c>
      <c r="C543" t="s">
        <v>789</v>
      </c>
      <c r="D543" t="s">
        <v>10</v>
      </c>
      <c r="E543">
        <v>35</v>
      </c>
      <c r="F543" t="s">
        <v>14</v>
      </c>
      <c r="G543">
        <v>3</v>
      </c>
      <c r="H543">
        <v>30</v>
      </c>
      <c r="I543">
        <v>90</v>
      </c>
    </row>
    <row r="544" spans="1:9" x14ac:dyDescent="0.3">
      <c r="A544">
        <v>646</v>
      </c>
      <c r="B544" s="1">
        <v>45049</v>
      </c>
      <c r="C544" t="s">
        <v>659</v>
      </c>
      <c r="D544" t="s">
        <v>10</v>
      </c>
      <c r="E544">
        <v>38</v>
      </c>
      <c r="F544" t="s">
        <v>14</v>
      </c>
      <c r="G544">
        <v>3</v>
      </c>
      <c r="H544">
        <v>30</v>
      </c>
      <c r="I544">
        <v>90</v>
      </c>
    </row>
    <row r="545" spans="1:9" x14ac:dyDescent="0.3">
      <c r="A545">
        <v>603</v>
      </c>
      <c r="B545" s="1">
        <v>45123</v>
      </c>
      <c r="C545" t="s">
        <v>616</v>
      </c>
      <c r="D545" t="s">
        <v>13</v>
      </c>
      <c r="E545">
        <v>40</v>
      </c>
      <c r="F545" t="s">
        <v>14</v>
      </c>
      <c r="G545">
        <v>3</v>
      </c>
      <c r="H545">
        <v>30</v>
      </c>
      <c r="I545">
        <v>90</v>
      </c>
    </row>
    <row r="546" spans="1:9" x14ac:dyDescent="0.3">
      <c r="A546">
        <v>861</v>
      </c>
      <c r="B546" s="1">
        <v>44974</v>
      </c>
      <c r="C546" t="s">
        <v>874</v>
      </c>
      <c r="D546" t="s">
        <v>13</v>
      </c>
      <c r="E546">
        <v>41</v>
      </c>
      <c r="F546" t="s">
        <v>14</v>
      </c>
      <c r="G546">
        <v>3</v>
      </c>
      <c r="H546">
        <v>30</v>
      </c>
      <c r="I546">
        <v>90</v>
      </c>
    </row>
    <row r="547" spans="1:9" x14ac:dyDescent="0.3">
      <c r="A547">
        <v>898</v>
      </c>
      <c r="B547" s="1">
        <v>45232</v>
      </c>
      <c r="C547" t="s">
        <v>911</v>
      </c>
      <c r="D547" t="s">
        <v>13</v>
      </c>
      <c r="E547">
        <v>42</v>
      </c>
      <c r="F547" t="s">
        <v>14</v>
      </c>
      <c r="G547">
        <v>3</v>
      </c>
      <c r="H547">
        <v>30</v>
      </c>
      <c r="I547">
        <v>90</v>
      </c>
    </row>
    <row r="548" spans="1:9" x14ac:dyDescent="0.3">
      <c r="A548">
        <v>419</v>
      </c>
      <c r="B548" s="1">
        <v>45068</v>
      </c>
      <c r="C548" t="s">
        <v>432</v>
      </c>
      <c r="D548" t="s">
        <v>13</v>
      </c>
      <c r="E548">
        <v>44</v>
      </c>
      <c r="F548" t="s">
        <v>14</v>
      </c>
      <c r="G548">
        <v>3</v>
      </c>
      <c r="H548">
        <v>30</v>
      </c>
      <c r="I548">
        <v>90</v>
      </c>
    </row>
    <row r="549" spans="1:9" x14ac:dyDescent="0.3">
      <c r="A549">
        <v>245</v>
      </c>
      <c r="B549" s="1">
        <v>45175</v>
      </c>
      <c r="C549" t="s">
        <v>258</v>
      </c>
      <c r="D549" t="s">
        <v>10</v>
      </c>
      <c r="E549">
        <v>47</v>
      </c>
      <c r="F549" t="s">
        <v>14</v>
      </c>
      <c r="G549">
        <v>3</v>
      </c>
      <c r="H549">
        <v>30</v>
      </c>
      <c r="I549">
        <v>90</v>
      </c>
    </row>
    <row r="550" spans="1:9" x14ac:dyDescent="0.3">
      <c r="A550">
        <v>691</v>
      </c>
      <c r="B550" s="1">
        <v>45039</v>
      </c>
      <c r="C550" t="s">
        <v>704</v>
      </c>
      <c r="D550" t="s">
        <v>13</v>
      </c>
      <c r="E550">
        <v>51</v>
      </c>
      <c r="F550" t="s">
        <v>14</v>
      </c>
      <c r="G550">
        <v>3</v>
      </c>
      <c r="H550">
        <v>30</v>
      </c>
      <c r="I550">
        <v>90</v>
      </c>
    </row>
    <row r="551" spans="1:9" x14ac:dyDescent="0.3">
      <c r="A551">
        <v>613</v>
      </c>
      <c r="B551" s="1">
        <v>45039</v>
      </c>
      <c r="C551" t="s">
        <v>626</v>
      </c>
      <c r="D551" t="s">
        <v>13</v>
      </c>
      <c r="E551">
        <v>52</v>
      </c>
      <c r="F551" t="s">
        <v>14</v>
      </c>
      <c r="G551">
        <v>3</v>
      </c>
      <c r="H551">
        <v>30</v>
      </c>
      <c r="I551">
        <v>90</v>
      </c>
    </row>
    <row r="552" spans="1:9" x14ac:dyDescent="0.3">
      <c r="A552">
        <v>351</v>
      </c>
      <c r="B552" s="1">
        <v>45194</v>
      </c>
      <c r="C552" t="s">
        <v>364</v>
      </c>
      <c r="D552" t="s">
        <v>13</v>
      </c>
      <c r="E552">
        <v>56</v>
      </c>
      <c r="F552" t="s">
        <v>14</v>
      </c>
      <c r="G552">
        <v>3</v>
      </c>
      <c r="H552">
        <v>30</v>
      </c>
      <c r="I552">
        <v>90</v>
      </c>
    </row>
    <row r="553" spans="1:9" x14ac:dyDescent="0.3">
      <c r="A553">
        <v>444</v>
      </c>
      <c r="B553" s="1">
        <v>44992</v>
      </c>
      <c r="C553" t="s">
        <v>457</v>
      </c>
      <c r="D553" t="s">
        <v>13</v>
      </c>
      <c r="E553">
        <v>61</v>
      </c>
      <c r="F553" t="s">
        <v>14</v>
      </c>
      <c r="G553">
        <v>3</v>
      </c>
      <c r="H553">
        <v>30</v>
      </c>
      <c r="I553">
        <v>90</v>
      </c>
    </row>
    <row r="554" spans="1:9" x14ac:dyDescent="0.3">
      <c r="A554">
        <v>704</v>
      </c>
      <c r="B554" s="1">
        <v>45166</v>
      </c>
      <c r="C554" t="s">
        <v>717</v>
      </c>
      <c r="D554" t="s">
        <v>13</v>
      </c>
      <c r="E554">
        <v>62</v>
      </c>
      <c r="F554" t="s">
        <v>14</v>
      </c>
      <c r="G554">
        <v>3</v>
      </c>
      <c r="H554">
        <v>30</v>
      </c>
      <c r="I554">
        <v>90</v>
      </c>
    </row>
    <row r="555" spans="1:9" x14ac:dyDescent="0.3">
      <c r="A555">
        <v>326</v>
      </c>
      <c r="B555" s="1">
        <v>45184</v>
      </c>
      <c r="C555" t="s">
        <v>339</v>
      </c>
      <c r="D555" t="s">
        <v>13</v>
      </c>
      <c r="E555">
        <v>18</v>
      </c>
      <c r="F555" t="s">
        <v>14</v>
      </c>
      <c r="G555">
        <v>3</v>
      </c>
      <c r="H555">
        <v>25</v>
      </c>
      <c r="I555">
        <v>75</v>
      </c>
    </row>
    <row r="556" spans="1:9" x14ac:dyDescent="0.3">
      <c r="A556">
        <v>149</v>
      </c>
      <c r="B556" s="1">
        <v>45210</v>
      </c>
      <c r="C556" t="s">
        <v>162</v>
      </c>
      <c r="D556" t="s">
        <v>10</v>
      </c>
      <c r="E556">
        <v>22</v>
      </c>
      <c r="F556" t="s">
        <v>14</v>
      </c>
      <c r="G556">
        <v>3</v>
      </c>
      <c r="H556">
        <v>25</v>
      </c>
      <c r="I556">
        <v>75</v>
      </c>
    </row>
    <row r="557" spans="1:9" x14ac:dyDescent="0.3">
      <c r="A557">
        <v>475</v>
      </c>
      <c r="B557" s="1">
        <v>44946</v>
      </c>
      <c r="C557" t="s">
        <v>488</v>
      </c>
      <c r="D557" t="s">
        <v>10</v>
      </c>
      <c r="E557">
        <v>26</v>
      </c>
      <c r="F557" t="s">
        <v>14</v>
      </c>
      <c r="G557">
        <v>3</v>
      </c>
      <c r="H557">
        <v>25</v>
      </c>
      <c r="I557">
        <v>75</v>
      </c>
    </row>
    <row r="558" spans="1:9" x14ac:dyDescent="0.3">
      <c r="A558">
        <v>750</v>
      </c>
      <c r="B558" s="1">
        <v>44991</v>
      </c>
      <c r="C558" t="s">
        <v>763</v>
      </c>
      <c r="D558" t="s">
        <v>13</v>
      </c>
      <c r="E558">
        <v>35</v>
      </c>
      <c r="F558" t="s">
        <v>14</v>
      </c>
      <c r="G558">
        <v>3</v>
      </c>
      <c r="H558">
        <v>25</v>
      </c>
      <c r="I558">
        <v>75</v>
      </c>
    </row>
    <row r="559" spans="1:9" x14ac:dyDescent="0.3">
      <c r="A559">
        <v>145</v>
      </c>
      <c r="B559" s="1">
        <v>45232</v>
      </c>
      <c r="C559" t="s">
        <v>158</v>
      </c>
      <c r="D559" t="s">
        <v>13</v>
      </c>
      <c r="E559">
        <v>39</v>
      </c>
      <c r="F559" t="s">
        <v>14</v>
      </c>
      <c r="G559">
        <v>3</v>
      </c>
      <c r="H559">
        <v>25</v>
      </c>
      <c r="I559">
        <v>75</v>
      </c>
    </row>
    <row r="560" spans="1:9" x14ac:dyDescent="0.3">
      <c r="A560">
        <v>188</v>
      </c>
      <c r="B560" s="1">
        <v>45049</v>
      </c>
      <c r="C560" t="s">
        <v>201</v>
      </c>
      <c r="D560" t="s">
        <v>10</v>
      </c>
      <c r="E560">
        <v>40</v>
      </c>
      <c r="F560" t="s">
        <v>14</v>
      </c>
      <c r="G560">
        <v>3</v>
      </c>
      <c r="H560">
        <v>25</v>
      </c>
      <c r="I560">
        <v>75</v>
      </c>
    </row>
    <row r="561" spans="1:9" x14ac:dyDescent="0.3">
      <c r="A561">
        <v>797</v>
      </c>
      <c r="B561" s="1">
        <v>44933</v>
      </c>
      <c r="C561" t="s">
        <v>810</v>
      </c>
      <c r="D561" t="s">
        <v>10</v>
      </c>
      <c r="E561">
        <v>40</v>
      </c>
      <c r="F561" t="s">
        <v>14</v>
      </c>
      <c r="G561">
        <v>3</v>
      </c>
      <c r="H561">
        <v>25</v>
      </c>
      <c r="I561">
        <v>75</v>
      </c>
    </row>
    <row r="562" spans="1:9" x14ac:dyDescent="0.3">
      <c r="A562">
        <v>654</v>
      </c>
      <c r="B562" s="1">
        <v>45098</v>
      </c>
      <c r="C562" t="s">
        <v>667</v>
      </c>
      <c r="D562" t="s">
        <v>10</v>
      </c>
      <c r="E562">
        <v>42</v>
      </c>
      <c r="F562" t="s">
        <v>14</v>
      </c>
      <c r="G562">
        <v>3</v>
      </c>
      <c r="H562">
        <v>25</v>
      </c>
      <c r="I562">
        <v>75</v>
      </c>
    </row>
    <row r="563" spans="1:9" x14ac:dyDescent="0.3">
      <c r="A563">
        <v>439</v>
      </c>
      <c r="B563" s="1">
        <v>45116</v>
      </c>
      <c r="C563" t="s">
        <v>452</v>
      </c>
      <c r="D563" t="s">
        <v>10</v>
      </c>
      <c r="E563">
        <v>50</v>
      </c>
      <c r="F563" t="s">
        <v>14</v>
      </c>
      <c r="G563">
        <v>3</v>
      </c>
      <c r="H563">
        <v>25</v>
      </c>
      <c r="I563">
        <v>75</v>
      </c>
    </row>
    <row r="564" spans="1:9" x14ac:dyDescent="0.3">
      <c r="A564">
        <v>815</v>
      </c>
      <c r="B564" s="1">
        <v>45165</v>
      </c>
      <c r="C564" t="s">
        <v>828</v>
      </c>
      <c r="D564" t="s">
        <v>13</v>
      </c>
      <c r="E564">
        <v>51</v>
      </c>
      <c r="F564" t="s">
        <v>14</v>
      </c>
      <c r="G564">
        <v>3</v>
      </c>
      <c r="H564">
        <v>25</v>
      </c>
      <c r="I564">
        <v>75</v>
      </c>
    </row>
    <row r="565" spans="1:9" x14ac:dyDescent="0.3">
      <c r="A565">
        <v>607</v>
      </c>
      <c r="B565" s="1">
        <v>45002</v>
      </c>
      <c r="C565" t="s">
        <v>620</v>
      </c>
      <c r="D565" t="s">
        <v>10</v>
      </c>
      <c r="E565">
        <v>54</v>
      </c>
      <c r="F565" t="s">
        <v>14</v>
      </c>
      <c r="G565">
        <v>3</v>
      </c>
      <c r="H565">
        <v>25</v>
      </c>
      <c r="I565">
        <v>75</v>
      </c>
    </row>
    <row r="566" spans="1:9" x14ac:dyDescent="0.3">
      <c r="A566">
        <v>653</v>
      </c>
      <c r="B566" s="1">
        <v>45066</v>
      </c>
      <c r="C566" t="s">
        <v>666</v>
      </c>
      <c r="D566" t="s">
        <v>10</v>
      </c>
      <c r="E566">
        <v>54</v>
      </c>
      <c r="F566" t="s">
        <v>14</v>
      </c>
      <c r="G566">
        <v>3</v>
      </c>
      <c r="H566">
        <v>25</v>
      </c>
      <c r="I566">
        <v>75</v>
      </c>
    </row>
    <row r="567" spans="1:9" x14ac:dyDescent="0.3">
      <c r="A567">
        <v>755</v>
      </c>
      <c r="B567" s="1">
        <v>45038</v>
      </c>
      <c r="C567" t="s">
        <v>768</v>
      </c>
      <c r="D567" t="s">
        <v>13</v>
      </c>
      <c r="E567">
        <v>58</v>
      </c>
      <c r="F567" t="s">
        <v>14</v>
      </c>
      <c r="G567">
        <v>3</v>
      </c>
      <c r="H567">
        <v>25</v>
      </c>
      <c r="I567">
        <v>75</v>
      </c>
    </row>
    <row r="568" spans="1:9" x14ac:dyDescent="0.3">
      <c r="A568">
        <v>848</v>
      </c>
      <c r="B568" s="1">
        <v>44970</v>
      </c>
      <c r="C568" t="s">
        <v>861</v>
      </c>
      <c r="D568" t="s">
        <v>13</v>
      </c>
      <c r="E568">
        <v>63</v>
      </c>
      <c r="F568" t="s">
        <v>14</v>
      </c>
      <c r="G568">
        <v>3</v>
      </c>
      <c r="H568">
        <v>25</v>
      </c>
      <c r="I568">
        <v>75</v>
      </c>
    </row>
    <row r="569" spans="1:9" x14ac:dyDescent="0.3">
      <c r="A569">
        <v>988</v>
      </c>
      <c r="B569" s="1">
        <v>45074</v>
      </c>
      <c r="C569" t="s">
        <v>1001</v>
      </c>
      <c r="D569" t="s">
        <v>13</v>
      </c>
      <c r="E569">
        <v>63</v>
      </c>
      <c r="F569" t="s">
        <v>14</v>
      </c>
      <c r="G569">
        <v>3</v>
      </c>
      <c r="H569">
        <v>25</v>
      </c>
      <c r="I569">
        <v>75</v>
      </c>
    </row>
    <row r="570" spans="1:9" x14ac:dyDescent="0.3">
      <c r="A570">
        <v>148</v>
      </c>
      <c r="B570" s="1">
        <v>45055</v>
      </c>
      <c r="C570" t="s">
        <v>161</v>
      </c>
      <c r="D570" t="s">
        <v>10</v>
      </c>
      <c r="E570">
        <v>18</v>
      </c>
      <c r="F570" t="s">
        <v>14</v>
      </c>
      <c r="G570">
        <v>2</v>
      </c>
      <c r="H570">
        <v>30</v>
      </c>
      <c r="I570">
        <v>60</v>
      </c>
    </row>
    <row r="571" spans="1:9" x14ac:dyDescent="0.3">
      <c r="A571">
        <v>563</v>
      </c>
      <c r="B571" s="1">
        <v>45147</v>
      </c>
      <c r="C571" t="s">
        <v>576</v>
      </c>
      <c r="D571" t="s">
        <v>10</v>
      </c>
      <c r="E571">
        <v>20</v>
      </c>
      <c r="F571" t="s">
        <v>14</v>
      </c>
      <c r="G571">
        <v>2</v>
      </c>
      <c r="H571">
        <v>30</v>
      </c>
      <c r="I571">
        <v>60</v>
      </c>
    </row>
    <row r="572" spans="1:9" x14ac:dyDescent="0.3">
      <c r="A572">
        <v>900</v>
      </c>
      <c r="B572" s="1">
        <v>44978</v>
      </c>
      <c r="C572" t="s">
        <v>913</v>
      </c>
      <c r="D572" t="s">
        <v>10</v>
      </c>
      <c r="E572">
        <v>21</v>
      </c>
      <c r="F572" t="s">
        <v>14</v>
      </c>
      <c r="G572">
        <v>2</v>
      </c>
      <c r="H572">
        <v>30</v>
      </c>
      <c r="I572">
        <v>60</v>
      </c>
    </row>
    <row r="573" spans="1:9" x14ac:dyDescent="0.3">
      <c r="A573">
        <v>884</v>
      </c>
      <c r="B573" s="1">
        <v>45045</v>
      </c>
      <c r="C573" t="s">
        <v>897</v>
      </c>
      <c r="D573" t="s">
        <v>13</v>
      </c>
      <c r="E573">
        <v>26</v>
      </c>
      <c r="F573" t="s">
        <v>14</v>
      </c>
      <c r="G573">
        <v>2</v>
      </c>
      <c r="H573">
        <v>30</v>
      </c>
      <c r="I573">
        <v>60</v>
      </c>
    </row>
    <row r="574" spans="1:9" x14ac:dyDescent="0.3">
      <c r="A574">
        <v>95</v>
      </c>
      <c r="B574" s="1">
        <v>45254</v>
      </c>
      <c r="C574" t="s">
        <v>108</v>
      </c>
      <c r="D574" t="s">
        <v>13</v>
      </c>
      <c r="E574">
        <v>32</v>
      </c>
      <c r="F574" t="s">
        <v>14</v>
      </c>
      <c r="G574">
        <v>2</v>
      </c>
      <c r="H574">
        <v>30</v>
      </c>
      <c r="I574">
        <v>60</v>
      </c>
    </row>
    <row r="575" spans="1:9" x14ac:dyDescent="0.3">
      <c r="A575">
        <v>528</v>
      </c>
      <c r="B575" s="1">
        <v>45113</v>
      </c>
      <c r="C575" t="s">
        <v>541</v>
      </c>
      <c r="D575" t="s">
        <v>13</v>
      </c>
      <c r="E575">
        <v>36</v>
      </c>
      <c r="F575" t="s">
        <v>14</v>
      </c>
      <c r="G575">
        <v>2</v>
      </c>
      <c r="H575">
        <v>30</v>
      </c>
      <c r="I575">
        <v>60</v>
      </c>
    </row>
    <row r="576" spans="1:9" x14ac:dyDescent="0.3">
      <c r="A576">
        <v>162</v>
      </c>
      <c r="B576" s="1">
        <v>45159</v>
      </c>
      <c r="C576" t="s">
        <v>175</v>
      </c>
      <c r="D576" t="s">
        <v>10</v>
      </c>
      <c r="E576">
        <v>39</v>
      </c>
      <c r="F576" t="s">
        <v>14</v>
      </c>
      <c r="G576">
        <v>2</v>
      </c>
      <c r="H576">
        <v>30</v>
      </c>
      <c r="I576">
        <v>60</v>
      </c>
    </row>
    <row r="577" spans="1:9" x14ac:dyDescent="0.3">
      <c r="A577">
        <v>178</v>
      </c>
      <c r="B577" s="1">
        <v>45203</v>
      </c>
      <c r="C577" t="s">
        <v>191</v>
      </c>
      <c r="D577" t="s">
        <v>10</v>
      </c>
      <c r="E577">
        <v>40</v>
      </c>
      <c r="F577" t="s">
        <v>14</v>
      </c>
      <c r="G577">
        <v>2</v>
      </c>
      <c r="H577">
        <v>30</v>
      </c>
      <c r="I577">
        <v>60</v>
      </c>
    </row>
    <row r="578" spans="1:9" x14ac:dyDescent="0.3">
      <c r="A578">
        <v>719</v>
      </c>
      <c r="B578" s="1">
        <v>45020</v>
      </c>
      <c r="C578" t="s">
        <v>732</v>
      </c>
      <c r="D578" t="s">
        <v>13</v>
      </c>
      <c r="E578">
        <v>42</v>
      </c>
      <c r="F578" t="s">
        <v>14</v>
      </c>
      <c r="G578">
        <v>2</v>
      </c>
      <c r="H578">
        <v>30</v>
      </c>
      <c r="I578">
        <v>60</v>
      </c>
    </row>
    <row r="579" spans="1:9" x14ac:dyDescent="0.3">
      <c r="A579">
        <v>962</v>
      </c>
      <c r="B579" s="1">
        <v>45218</v>
      </c>
      <c r="C579" t="s">
        <v>975</v>
      </c>
      <c r="D579" t="s">
        <v>10</v>
      </c>
      <c r="E579">
        <v>44</v>
      </c>
      <c r="F579" t="s">
        <v>14</v>
      </c>
      <c r="G579">
        <v>2</v>
      </c>
      <c r="H579">
        <v>30</v>
      </c>
      <c r="I579">
        <v>60</v>
      </c>
    </row>
    <row r="580" spans="1:9" x14ac:dyDescent="0.3">
      <c r="A580">
        <v>675</v>
      </c>
      <c r="B580" s="1">
        <v>45142</v>
      </c>
      <c r="C580" t="s">
        <v>688</v>
      </c>
      <c r="D580" t="s">
        <v>13</v>
      </c>
      <c r="E580">
        <v>45</v>
      </c>
      <c r="F580" t="s">
        <v>14</v>
      </c>
      <c r="G580">
        <v>2</v>
      </c>
      <c r="H580">
        <v>30</v>
      </c>
      <c r="I580">
        <v>60</v>
      </c>
    </row>
    <row r="581" spans="1:9" x14ac:dyDescent="0.3">
      <c r="A581">
        <v>315</v>
      </c>
      <c r="B581" s="1">
        <v>45078</v>
      </c>
      <c r="C581" t="s">
        <v>328</v>
      </c>
      <c r="D581" t="s">
        <v>10</v>
      </c>
      <c r="E581">
        <v>47</v>
      </c>
      <c r="F581" t="s">
        <v>14</v>
      </c>
      <c r="G581">
        <v>2</v>
      </c>
      <c r="H581">
        <v>30</v>
      </c>
      <c r="I581">
        <v>60</v>
      </c>
    </row>
    <row r="582" spans="1:9" x14ac:dyDescent="0.3">
      <c r="A582">
        <v>548</v>
      </c>
      <c r="B582" s="1">
        <v>45025</v>
      </c>
      <c r="C582" t="s">
        <v>561</v>
      </c>
      <c r="D582" t="s">
        <v>13</v>
      </c>
      <c r="E582">
        <v>51</v>
      </c>
      <c r="F582" t="s">
        <v>14</v>
      </c>
      <c r="G582">
        <v>2</v>
      </c>
      <c r="H582">
        <v>30</v>
      </c>
      <c r="I582">
        <v>60</v>
      </c>
    </row>
    <row r="583" spans="1:9" x14ac:dyDescent="0.3">
      <c r="A583">
        <v>415</v>
      </c>
      <c r="B583" s="1">
        <v>44953</v>
      </c>
      <c r="C583" t="s">
        <v>428</v>
      </c>
      <c r="D583" t="s">
        <v>10</v>
      </c>
      <c r="E583">
        <v>53</v>
      </c>
      <c r="F583" t="s">
        <v>14</v>
      </c>
      <c r="G583">
        <v>2</v>
      </c>
      <c r="H583">
        <v>30</v>
      </c>
      <c r="I583">
        <v>60</v>
      </c>
    </row>
    <row r="584" spans="1:9" x14ac:dyDescent="0.3">
      <c r="A584">
        <v>478</v>
      </c>
      <c r="B584" s="1">
        <v>45029</v>
      </c>
      <c r="C584" t="s">
        <v>491</v>
      </c>
      <c r="D584" t="s">
        <v>13</v>
      </c>
      <c r="E584">
        <v>58</v>
      </c>
      <c r="F584" t="s">
        <v>14</v>
      </c>
      <c r="G584">
        <v>2</v>
      </c>
      <c r="H584">
        <v>30</v>
      </c>
      <c r="I584">
        <v>60</v>
      </c>
    </row>
    <row r="585" spans="1:9" x14ac:dyDescent="0.3">
      <c r="A585">
        <v>960</v>
      </c>
      <c r="B585" s="1">
        <v>45146</v>
      </c>
      <c r="C585" t="s">
        <v>973</v>
      </c>
      <c r="D585" t="s">
        <v>10</v>
      </c>
      <c r="E585">
        <v>59</v>
      </c>
      <c r="F585" t="s">
        <v>14</v>
      </c>
      <c r="G585">
        <v>2</v>
      </c>
      <c r="H585">
        <v>30</v>
      </c>
      <c r="I585">
        <v>60</v>
      </c>
    </row>
    <row r="586" spans="1:9" x14ac:dyDescent="0.3">
      <c r="A586">
        <v>80</v>
      </c>
      <c r="B586" s="1">
        <v>45270</v>
      </c>
      <c r="C586" t="s">
        <v>93</v>
      </c>
      <c r="D586" t="s">
        <v>13</v>
      </c>
      <c r="E586">
        <v>64</v>
      </c>
      <c r="F586" t="s">
        <v>14</v>
      </c>
      <c r="G586">
        <v>2</v>
      </c>
      <c r="H586">
        <v>30</v>
      </c>
      <c r="I586">
        <v>60</v>
      </c>
    </row>
    <row r="587" spans="1:9" x14ac:dyDescent="0.3">
      <c r="A587">
        <v>135</v>
      </c>
      <c r="B587" s="1">
        <v>44983</v>
      </c>
      <c r="C587" t="s">
        <v>148</v>
      </c>
      <c r="D587" t="s">
        <v>10</v>
      </c>
      <c r="E587">
        <v>20</v>
      </c>
      <c r="F587" t="s">
        <v>14</v>
      </c>
      <c r="G587">
        <v>2</v>
      </c>
      <c r="H587">
        <v>25</v>
      </c>
      <c r="I587">
        <v>50</v>
      </c>
    </row>
    <row r="588" spans="1:9" x14ac:dyDescent="0.3">
      <c r="A588">
        <v>249</v>
      </c>
      <c r="B588" s="1">
        <v>45219</v>
      </c>
      <c r="C588" t="s">
        <v>262</v>
      </c>
      <c r="D588" t="s">
        <v>10</v>
      </c>
      <c r="E588">
        <v>20</v>
      </c>
      <c r="F588" t="s">
        <v>14</v>
      </c>
      <c r="G588">
        <v>1</v>
      </c>
      <c r="H588">
        <v>50</v>
      </c>
      <c r="I588">
        <v>50</v>
      </c>
    </row>
    <row r="589" spans="1:9" x14ac:dyDescent="0.3">
      <c r="A589">
        <v>906</v>
      </c>
      <c r="B589" s="1">
        <v>45081</v>
      </c>
      <c r="C589" t="s">
        <v>919</v>
      </c>
      <c r="D589" t="s">
        <v>13</v>
      </c>
      <c r="E589">
        <v>20</v>
      </c>
      <c r="F589" t="s">
        <v>14</v>
      </c>
      <c r="G589">
        <v>1</v>
      </c>
      <c r="H589">
        <v>50</v>
      </c>
      <c r="I589">
        <v>50</v>
      </c>
    </row>
    <row r="590" spans="1:9" x14ac:dyDescent="0.3">
      <c r="A590">
        <v>261</v>
      </c>
      <c r="B590" s="1">
        <v>45143</v>
      </c>
      <c r="C590" t="s">
        <v>274</v>
      </c>
      <c r="D590" t="s">
        <v>10</v>
      </c>
      <c r="E590">
        <v>21</v>
      </c>
      <c r="F590" t="s">
        <v>14</v>
      </c>
      <c r="G590">
        <v>2</v>
      </c>
      <c r="H590">
        <v>25</v>
      </c>
      <c r="I590">
        <v>50</v>
      </c>
    </row>
    <row r="591" spans="1:9" x14ac:dyDescent="0.3">
      <c r="A591">
        <v>389</v>
      </c>
      <c r="B591" s="1">
        <v>45261</v>
      </c>
      <c r="C591" t="s">
        <v>402</v>
      </c>
      <c r="D591" t="s">
        <v>10</v>
      </c>
      <c r="E591">
        <v>21</v>
      </c>
      <c r="F591" t="s">
        <v>14</v>
      </c>
      <c r="G591">
        <v>2</v>
      </c>
      <c r="H591">
        <v>25</v>
      </c>
      <c r="I591">
        <v>50</v>
      </c>
    </row>
    <row r="592" spans="1:9" x14ac:dyDescent="0.3">
      <c r="A592">
        <v>836</v>
      </c>
      <c r="B592" s="1">
        <v>45035</v>
      </c>
      <c r="C592" t="s">
        <v>849</v>
      </c>
      <c r="D592" t="s">
        <v>13</v>
      </c>
      <c r="E592">
        <v>22</v>
      </c>
      <c r="F592" t="s">
        <v>14</v>
      </c>
      <c r="G592">
        <v>1</v>
      </c>
      <c r="H592">
        <v>50</v>
      </c>
      <c r="I592">
        <v>50</v>
      </c>
    </row>
    <row r="593" spans="1:9" x14ac:dyDescent="0.3">
      <c r="A593">
        <v>170</v>
      </c>
      <c r="B593" s="1">
        <v>45079</v>
      </c>
      <c r="C593" t="s">
        <v>183</v>
      </c>
      <c r="D593" t="s">
        <v>13</v>
      </c>
      <c r="E593">
        <v>25</v>
      </c>
      <c r="F593" t="s">
        <v>14</v>
      </c>
      <c r="G593">
        <v>2</v>
      </c>
      <c r="H593">
        <v>25</v>
      </c>
      <c r="I593">
        <v>50</v>
      </c>
    </row>
    <row r="594" spans="1:9" x14ac:dyDescent="0.3">
      <c r="A594">
        <v>224</v>
      </c>
      <c r="B594" s="1">
        <v>45100</v>
      </c>
      <c r="C594" t="s">
        <v>237</v>
      </c>
      <c r="D594" t="s">
        <v>13</v>
      </c>
      <c r="E594">
        <v>25</v>
      </c>
      <c r="F594" t="s">
        <v>14</v>
      </c>
      <c r="G594">
        <v>1</v>
      </c>
      <c r="H594">
        <v>50</v>
      </c>
      <c r="I594">
        <v>50</v>
      </c>
    </row>
    <row r="595" spans="1:9" x14ac:dyDescent="0.3">
      <c r="A595">
        <v>545</v>
      </c>
      <c r="B595" s="1">
        <v>45078</v>
      </c>
      <c r="C595" t="s">
        <v>558</v>
      </c>
      <c r="D595" t="s">
        <v>10</v>
      </c>
      <c r="E595">
        <v>27</v>
      </c>
      <c r="F595" t="s">
        <v>14</v>
      </c>
      <c r="G595">
        <v>2</v>
      </c>
      <c r="H595">
        <v>25</v>
      </c>
      <c r="I595">
        <v>50</v>
      </c>
    </row>
    <row r="596" spans="1:9" x14ac:dyDescent="0.3">
      <c r="A596">
        <v>151</v>
      </c>
      <c r="B596" s="1">
        <v>45275</v>
      </c>
      <c r="C596" t="s">
        <v>164</v>
      </c>
      <c r="D596" t="s">
        <v>10</v>
      </c>
      <c r="E596">
        <v>29</v>
      </c>
      <c r="F596" t="s">
        <v>14</v>
      </c>
      <c r="G596">
        <v>1</v>
      </c>
      <c r="H596">
        <v>50</v>
      </c>
      <c r="I596">
        <v>50</v>
      </c>
    </row>
    <row r="597" spans="1:9" x14ac:dyDescent="0.3">
      <c r="A597">
        <v>854</v>
      </c>
      <c r="B597" s="1">
        <v>45280</v>
      </c>
      <c r="C597" t="s">
        <v>867</v>
      </c>
      <c r="D597" t="s">
        <v>10</v>
      </c>
      <c r="E597">
        <v>29</v>
      </c>
      <c r="F597" t="s">
        <v>14</v>
      </c>
      <c r="G597">
        <v>1</v>
      </c>
      <c r="H597">
        <v>50</v>
      </c>
      <c r="I597">
        <v>50</v>
      </c>
    </row>
    <row r="598" spans="1:9" x14ac:dyDescent="0.3">
      <c r="A598">
        <v>375</v>
      </c>
      <c r="B598" s="1">
        <v>45186</v>
      </c>
      <c r="C598" t="s">
        <v>388</v>
      </c>
      <c r="D598" t="s">
        <v>10</v>
      </c>
      <c r="E598">
        <v>32</v>
      </c>
      <c r="F598" t="s">
        <v>14</v>
      </c>
      <c r="G598">
        <v>1</v>
      </c>
      <c r="H598">
        <v>50</v>
      </c>
      <c r="I598">
        <v>50</v>
      </c>
    </row>
    <row r="599" spans="1:9" x14ac:dyDescent="0.3">
      <c r="A599">
        <v>770</v>
      </c>
      <c r="B599" s="1">
        <v>45221</v>
      </c>
      <c r="C599" t="s">
        <v>783</v>
      </c>
      <c r="D599" t="s">
        <v>10</v>
      </c>
      <c r="E599">
        <v>32</v>
      </c>
      <c r="F599" t="s">
        <v>14</v>
      </c>
      <c r="G599">
        <v>1</v>
      </c>
      <c r="H599">
        <v>50</v>
      </c>
      <c r="I599">
        <v>50</v>
      </c>
    </row>
    <row r="600" spans="1:9" x14ac:dyDescent="0.3">
      <c r="A600">
        <v>849</v>
      </c>
      <c r="B600" s="1">
        <v>45050</v>
      </c>
      <c r="C600" t="s">
        <v>862</v>
      </c>
      <c r="D600" t="s">
        <v>10</v>
      </c>
      <c r="E600">
        <v>32</v>
      </c>
      <c r="F600" t="s">
        <v>14</v>
      </c>
      <c r="G600">
        <v>2</v>
      </c>
      <c r="H600">
        <v>25</v>
      </c>
      <c r="I600">
        <v>50</v>
      </c>
    </row>
    <row r="601" spans="1:9" x14ac:dyDescent="0.3">
      <c r="A601">
        <v>127</v>
      </c>
      <c r="B601" s="1">
        <v>45131</v>
      </c>
      <c r="C601" t="s">
        <v>140</v>
      </c>
      <c r="D601" t="s">
        <v>13</v>
      </c>
      <c r="E601">
        <v>33</v>
      </c>
      <c r="F601" t="s">
        <v>14</v>
      </c>
      <c r="G601">
        <v>2</v>
      </c>
      <c r="H601">
        <v>25</v>
      </c>
      <c r="I601">
        <v>50</v>
      </c>
    </row>
    <row r="602" spans="1:9" x14ac:dyDescent="0.3">
      <c r="A602">
        <v>737</v>
      </c>
      <c r="B602" s="1">
        <v>45106</v>
      </c>
      <c r="C602" t="s">
        <v>750</v>
      </c>
      <c r="D602" t="s">
        <v>13</v>
      </c>
      <c r="E602">
        <v>33</v>
      </c>
      <c r="F602" t="s">
        <v>14</v>
      </c>
      <c r="G602">
        <v>1</v>
      </c>
      <c r="H602">
        <v>50</v>
      </c>
      <c r="I602">
        <v>50</v>
      </c>
    </row>
    <row r="603" spans="1:9" x14ac:dyDescent="0.3">
      <c r="A603">
        <v>41</v>
      </c>
      <c r="B603" s="1">
        <v>44979</v>
      </c>
      <c r="C603" t="s">
        <v>54</v>
      </c>
      <c r="D603" t="s">
        <v>10</v>
      </c>
      <c r="E603">
        <v>34</v>
      </c>
      <c r="F603" t="s">
        <v>14</v>
      </c>
      <c r="G603">
        <v>2</v>
      </c>
      <c r="H603">
        <v>25</v>
      </c>
      <c r="I603">
        <v>50</v>
      </c>
    </row>
    <row r="604" spans="1:9" x14ac:dyDescent="0.3">
      <c r="A604">
        <v>763</v>
      </c>
      <c r="B604" s="1">
        <v>44985</v>
      </c>
      <c r="C604" t="s">
        <v>776</v>
      </c>
      <c r="D604" t="s">
        <v>10</v>
      </c>
      <c r="E604">
        <v>34</v>
      </c>
      <c r="F604" t="s">
        <v>14</v>
      </c>
      <c r="G604">
        <v>2</v>
      </c>
      <c r="H604">
        <v>25</v>
      </c>
      <c r="I604">
        <v>50</v>
      </c>
    </row>
    <row r="605" spans="1:9" x14ac:dyDescent="0.3">
      <c r="A605">
        <v>730</v>
      </c>
      <c r="B605" s="1">
        <v>45142</v>
      </c>
      <c r="C605" t="s">
        <v>743</v>
      </c>
      <c r="D605" t="s">
        <v>13</v>
      </c>
      <c r="E605">
        <v>36</v>
      </c>
      <c r="F605" t="s">
        <v>14</v>
      </c>
      <c r="G605">
        <v>2</v>
      </c>
      <c r="H605">
        <v>25</v>
      </c>
      <c r="I605">
        <v>50</v>
      </c>
    </row>
    <row r="606" spans="1:9" x14ac:dyDescent="0.3">
      <c r="A606">
        <v>258</v>
      </c>
      <c r="B606" s="1">
        <v>45264</v>
      </c>
      <c r="C606" t="s">
        <v>271</v>
      </c>
      <c r="D606" t="s">
        <v>13</v>
      </c>
      <c r="E606">
        <v>37</v>
      </c>
      <c r="F606" t="s">
        <v>14</v>
      </c>
      <c r="G606">
        <v>1</v>
      </c>
      <c r="H606">
        <v>50</v>
      </c>
      <c r="I606">
        <v>50</v>
      </c>
    </row>
    <row r="607" spans="1:9" x14ac:dyDescent="0.3">
      <c r="A607">
        <v>774</v>
      </c>
      <c r="B607" s="1">
        <v>45028</v>
      </c>
      <c r="C607" t="s">
        <v>787</v>
      </c>
      <c r="D607" t="s">
        <v>13</v>
      </c>
      <c r="E607">
        <v>40</v>
      </c>
      <c r="F607" t="s">
        <v>14</v>
      </c>
      <c r="G607">
        <v>2</v>
      </c>
      <c r="H607">
        <v>25</v>
      </c>
      <c r="I607">
        <v>50</v>
      </c>
    </row>
    <row r="608" spans="1:9" x14ac:dyDescent="0.3">
      <c r="A608">
        <v>751</v>
      </c>
      <c r="B608" s="1">
        <v>45169</v>
      </c>
      <c r="C608" t="s">
        <v>764</v>
      </c>
      <c r="D608" t="s">
        <v>13</v>
      </c>
      <c r="E608">
        <v>42</v>
      </c>
      <c r="F608" t="s">
        <v>14</v>
      </c>
      <c r="G608">
        <v>2</v>
      </c>
      <c r="H608">
        <v>25</v>
      </c>
      <c r="I608">
        <v>50</v>
      </c>
    </row>
    <row r="609" spans="1:9" x14ac:dyDescent="0.3">
      <c r="A609">
        <v>944</v>
      </c>
      <c r="B609" s="1">
        <v>45082</v>
      </c>
      <c r="C609" t="s">
        <v>957</v>
      </c>
      <c r="D609" t="s">
        <v>10</v>
      </c>
      <c r="E609">
        <v>44</v>
      </c>
      <c r="F609" t="s">
        <v>14</v>
      </c>
      <c r="G609">
        <v>2</v>
      </c>
      <c r="H609">
        <v>25</v>
      </c>
      <c r="I609">
        <v>50</v>
      </c>
    </row>
    <row r="610" spans="1:9" x14ac:dyDescent="0.3">
      <c r="A610">
        <v>143</v>
      </c>
      <c r="B610" s="1">
        <v>45124</v>
      </c>
      <c r="C610" t="s">
        <v>156</v>
      </c>
      <c r="D610" t="s">
        <v>13</v>
      </c>
      <c r="E610">
        <v>45</v>
      </c>
      <c r="F610" t="s">
        <v>14</v>
      </c>
      <c r="G610">
        <v>1</v>
      </c>
      <c r="H610">
        <v>50</v>
      </c>
      <c r="I610">
        <v>50</v>
      </c>
    </row>
    <row r="611" spans="1:9" x14ac:dyDescent="0.3">
      <c r="A611">
        <v>7</v>
      </c>
      <c r="B611" s="1">
        <v>44998</v>
      </c>
      <c r="C611" t="s">
        <v>20</v>
      </c>
      <c r="D611" t="s">
        <v>10</v>
      </c>
      <c r="E611">
        <v>46</v>
      </c>
      <c r="F611" t="s">
        <v>14</v>
      </c>
      <c r="G611">
        <v>2</v>
      </c>
      <c r="H611">
        <v>25</v>
      </c>
      <c r="I611">
        <v>50</v>
      </c>
    </row>
    <row r="612" spans="1:9" x14ac:dyDescent="0.3">
      <c r="A612">
        <v>106</v>
      </c>
      <c r="B612" s="1">
        <v>45064</v>
      </c>
      <c r="C612" t="s">
        <v>119</v>
      </c>
      <c r="D612" t="s">
        <v>13</v>
      </c>
      <c r="E612">
        <v>46</v>
      </c>
      <c r="F612" t="s">
        <v>14</v>
      </c>
      <c r="G612">
        <v>1</v>
      </c>
      <c r="H612">
        <v>50</v>
      </c>
      <c r="I612">
        <v>50</v>
      </c>
    </row>
    <row r="613" spans="1:9" x14ac:dyDescent="0.3">
      <c r="A613">
        <v>316</v>
      </c>
      <c r="B613" s="1">
        <v>45038</v>
      </c>
      <c r="C613" t="s">
        <v>329</v>
      </c>
      <c r="D613" t="s">
        <v>13</v>
      </c>
      <c r="E613">
        <v>48</v>
      </c>
      <c r="F613" t="s">
        <v>14</v>
      </c>
      <c r="G613">
        <v>2</v>
      </c>
      <c r="H613">
        <v>25</v>
      </c>
      <c r="I613">
        <v>50</v>
      </c>
    </row>
    <row r="614" spans="1:9" x14ac:dyDescent="0.3">
      <c r="A614">
        <v>359</v>
      </c>
      <c r="B614" s="1">
        <v>45129</v>
      </c>
      <c r="C614" t="s">
        <v>372</v>
      </c>
      <c r="D614" t="s">
        <v>10</v>
      </c>
      <c r="E614">
        <v>50</v>
      </c>
      <c r="F614" t="s">
        <v>14</v>
      </c>
      <c r="G614">
        <v>1</v>
      </c>
      <c r="H614">
        <v>50</v>
      </c>
      <c r="I614">
        <v>50</v>
      </c>
    </row>
    <row r="615" spans="1:9" x14ac:dyDescent="0.3">
      <c r="A615">
        <v>527</v>
      </c>
      <c r="B615" s="1">
        <v>45027</v>
      </c>
      <c r="C615" t="s">
        <v>540</v>
      </c>
      <c r="D615" t="s">
        <v>10</v>
      </c>
      <c r="E615">
        <v>57</v>
      </c>
      <c r="F615" t="s">
        <v>14</v>
      </c>
      <c r="G615">
        <v>2</v>
      </c>
      <c r="H615">
        <v>25</v>
      </c>
      <c r="I615">
        <v>50</v>
      </c>
    </row>
    <row r="616" spans="1:9" x14ac:dyDescent="0.3">
      <c r="A616">
        <v>627</v>
      </c>
      <c r="B616" s="1">
        <v>45213</v>
      </c>
      <c r="C616" t="s">
        <v>640</v>
      </c>
      <c r="D616" t="s">
        <v>10</v>
      </c>
      <c r="E616">
        <v>57</v>
      </c>
      <c r="F616" t="s">
        <v>14</v>
      </c>
      <c r="G616">
        <v>1</v>
      </c>
      <c r="H616">
        <v>50</v>
      </c>
      <c r="I616">
        <v>50</v>
      </c>
    </row>
    <row r="617" spans="1:9" x14ac:dyDescent="0.3">
      <c r="A617">
        <v>665</v>
      </c>
      <c r="B617" s="1">
        <v>45036</v>
      </c>
      <c r="C617" t="s">
        <v>678</v>
      </c>
      <c r="D617" t="s">
        <v>10</v>
      </c>
      <c r="E617">
        <v>57</v>
      </c>
      <c r="F617" t="s">
        <v>14</v>
      </c>
      <c r="G617">
        <v>1</v>
      </c>
      <c r="H617">
        <v>50</v>
      </c>
      <c r="I617">
        <v>50</v>
      </c>
    </row>
    <row r="618" spans="1:9" x14ac:dyDescent="0.3">
      <c r="A618">
        <v>941</v>
      </c>
      <c r="B618" s="1">
        <v>45004</v>
      </c>
      <c r="C618" t="s">
        <v>954</v>
      </c>
      <c r="D618" t="s">
        <v>13</v>
      </c>
      <c r="E618">
        <v>57</v>
      </c>
      <c r="F618" t="s">
        <v>14</v>
      </c>
      <c r="G618">
        <v>2</v>
      </c>
      <c r="H618">
        <v>25</v>
      </c>
      <c r="I618">
        <v>50</v>
      </c>
    </row>
    <row r="619" spans="1:9" x14ac:dyDescent="0.3">
      <c r="A619">
        <v>973</v>
      </c>
      <c r="B619" s="1">
        <v>45007</v>
      </c>
      <c r="C619" t="s">
        <v>986</v>
      </c>
      <c r="D619" t="s">
        <v>10</v>
      </c>
      <c r="E619">
        <v>60</v>
      </c>
      <c r="F619" t="s">
        <v>14</v>
      </c>
      <c r="G619">
        <v>1</v>
      </c>
      <c r="H619">
        <v>50</v>
      </c>
      <c r="I619">
        <v>50</v>
      </c>
    </row>
    <row r="620" spans="1:9" x14ac:dyDescent="0.3">
      <c r="A620">
        <v>226</v>
      </c>
      <c r="B620" s="1">
        <v>45228</v>
      </c>
      <c r="C620" t="s">
        <v>239</v>
      </c>
      <c r="D620" t="s">
        <v>13</v>
      </c>
      <c r="E620">
        <v>61</v>
      </c>
      <c r="F620" t="s">
        <v>14</v>
      </c>
      <c r="G620">
        <v>1</v>
      </c>
      <c r="H620">
        <v>50</v>
      </c>
      <c r="I620">
        <v>50</v>
      </c>
    </row>
    <row r="621" spans="1:9" x14ac:dyDescent="0.3">
      <c r="A621">
        <v>798</v>
      </c>
      <c r="B621" s="1">
        <v>45142</v>
      </c>
      <c r="C621" t="s">
        <v>811</v>
      </c>
      <c r="D621" t="s">
        <v>10</v>
      </c>
      <c r="E621">
        <v>61</v>
      </c>
      <c r="F621" t="s">
        <v>14</v>
      </c>
      <c r="G621">
        <v>1</v>
      </c>
      <c r="H621">
        <v>50</v>
      </c>
      <c r="I621">
        <v>50</v>
      </c>
    </row>
    <row r="622" spans="1:9" x14ac:dyDescent="0.3">
      <c r="A622">
        <v>19</v>
      </c>
      <c r="B622" s="1">
        <v>45185</v>
      </c>
      <c r="C622" t="s">
        <v>32</v>
      </c>
      <c r="D622" t="s">
        <v>13</v>
      </c>
      <c r="E622">
        <v>62</v>
      </c>
      <c r="F622" t="s">
        <v>14</v>
      </c>
      <c r="G622">
        <v>2</v>
      </c>
      <c r="H622">
        <v>25</v>
      </c>
      <c r="I622">
        <v>50</v>
      </c>
    </row>
    <row r="623" spans="1:9" x14ac:dyDescent="0.3">
      <c r="A623">
        <v>59</v>
      </c>
      <c r="B623" s="1">
        <v>45112</v>
      </c>
      <c r="C623" t="s">
        <v>72</v>
      </c>
      <c r="D623" t="s">
        <v>10</v>
      </c>
      <c r="E623">
        <v>62</v>
      </c>
      <c r="F623" t="s">
        <v>14</v>
      </c>
      <c r="G623">
        <v>1</v>
      </c>
      <c r="H623">
        <v>50</v>
      </c>
      <c r="I623">
        <v>50</v>
      </c>
    </row>
    <row r="624" spans="1:9" x14ac:dyDescent="0.3">
      <c r="A624">
        <v>840</v>
      </c>
      <c r="B624" s="1">
        <v>45070</v>
      </c>
      <c r="C624" t="s">
        <v>853</v>
      </c>
      <c r="D624" t="s">
        <v>10</v>
      </c>
      <c r="E624">
        <v>62</v>
      </c>
      <c r="F624" t="s">
        <v>14</v>
      </c>
      <c r="G624">
        <v>2</v>
      </c>
      <c r="H624">
        <v>25</v>
      </c>
      <c r="I624">
        <v>50</v>
      </c>
    </row>
    <row r="625" spans="1:9" x14ac:dyDescent="0.3">
      <c r="A625">
        <v>996</v>
      </c>
      <c r="B625" s="1">
        <v>45062</v>
      </c>
      <c r="C625" t="s">
        <v>1009</v>
      </c>
      <c r="D625" t="s">
        <v>10</v>
      </c>
      <c r="E625">
        <v>62</v>
      </c>
      <c r="F625" t="s">
        <v>14</v>
      </c>
      <c r="G625">
        <v>1</v>
      </c>
      <c r="H625">
        <v>50</v>
      </c>
      <c r="I625">
        <v>50</v>
      </c>
    </row>
    <row r="626" spans="1:9" x14ac:dyDescent="0.3">
      <c r="A626">
        <v>601</v>
      </c>
      <c r="B626" s="1">
        <v>45026</v>
      </c>
      <c r="C626" t="s">
        <v>614</v>
      </c>
      <c r="D626" t="s">
        <v>10</v>
      </c>
      <c r="E626">
        <v>19</v>
      </c>
      <c r="F626" t="s">
        <v>14</v>
      </c>
      <c r="G626">
        <v>1</v>
      </c>
      <c r="H626">
        <v>30</v>
      </c>
      <c r="I626">
        <v>30</v>
      </c>
    </row>
    <row r="627" spans="1:9" x14ac:dyDescent="0.3">
      <c r="A627">
        <v>878</v>
      </c>
      <c r="B627" s="1">
        <v>45107</v>
      </c>
      <c r="C627" t="s">
        <v>891</v>
      </c>
      <c r="D627" t="s">
        <v>13</v>
      </c>
      <c r="E627">
        <v>20</v>
      </c>
      <c r="F627" t="s">
        <v>14</v>
      </c>
      <c r="G627">
        <v>1</v>
      </c>
      <c r="H627">
        <v>30</v>
      </c>
      <c r="I627">
        <v>30</v>
      </c>
    </row>
    <row r="628" spans="1:9" x14ac:dyDescent="0.3">
      <c r="A628">
        <v>116</v>
      </c>
      <c r="B628" s="1">
        <v>45161</v>
      </c>
      <c r="C628" t="s">
        <v>129</v>
      </c>
      <c r="D628" t="s">
        <v>13</v>
      </c>
      <c r="E628">
        <v>23</v>
      </c>
      <c r="F628" t="s">
        <v>14</v>
      </c>
      <c r="G628">
        <v>1</v>
      </c>
      <c r="H628">
        <v>30</v>
      </c>
      <c r="I628">
        <v>30</v>
      </c>
    </row>
    <row r="629" spans="1:9" x14ac:dyDescent="0.3">
      <c r="A629">
        <v>879</v>
      </c>
      <c r="B629" s="1">
        <v>45286</v>
      </c>
      <c r="C629" t="s">
        <v>892</v>
      </c>
      <c r="D629" t="s">
        <v>10</v>
      </c>
      <c r="E629">
        <v>23</v>
      </c>
      <c r="F629" t="s">
        <v>14</v>
      </c>
      <c r="G629">
        <v>1</v>
      </c>
      <c r="H629">
        <v>30</v>
      </c>
      <c r="I629">
        <v>30</v>
      </c>
    </row>
    <row r="630" spans="1:9" x14ac:dyDescent="0.3">
      <c r="A630">
        <v>734</v>
      </c>
      <c r="B630" s="1">
        <v>44936</v>
      </c>
      <c r="C630" t="s">
        <v>747</v>
      </c>
      <c r="D630" t="s">
        <v>13</v>
      </c>
      <c r="E630">
        <v>27</v>
      </c>
      <c r="F630" t="s">
        <v>14</v>
      </c>
      <c r="G630">
        <v>1</v>
      </c>
      <c r="H630">
        <v>30</v>
      </c>
      <c r="I630">
        <v>30</v>
      </c>
    </row>
    <row r="631" spans="1:9" x14ac:dyDescent="0.3">
      <c r="A631">
        <v>753</v>
      </c>
      <c r="B631" s="1">
        <v>44985</v>
      </c>
      <c r="C631" t="s">
        <v>766</v>
      </c>
      <c r="D631" t="s">
        <v>13</v>
      </c>
      <c r="E631">
        <v>32</v>
      </c>
      <c r="F631" t="s">
        <v>14</v>
      </c>
      <c r="G631">
        <v>1</v>
      </c>
      <c r="H631">
        <v>30</v>
      </c>
      <c r="I631">
        <v>30</v>
      </c>
    </row>
    <row r="632" spans="1:9" x14ac:dyDescent="0.3">
      <c r="A632">
        <v>518</v>
      </c>
      <c r="B632" s="1">
        <v>45057</v>
      </c>
      <c r="C632" t="s">
        <v>531</v>
      </c>
      <c r="D632" t="s">
        <v>13</v>
      </c>
      <c r="E632">
        <v>40</v>
      </c>
      <c r="F632" t="s">
        <v>14</v>
      </c>
      <c r="G632">
        <v>1</v>
      </c>
      <c r="H632">
        <v>30</v>
      </c>
      <c r="I632">
        <v>30</v>
      </c>
    </row>
    <row r="633" spans="1:9" x14ac:dyDescent="0.3">
      <c r="A633">
        <v>995</v>
      </c>
      <c r="B633" s="1">
        <v>45046</v>
      </c>
      <c r="C633" t="s">
        <v>1008</v>
      </c>
      <c r="D633" t="s">
        <v>13</v>
      </c>
      <c r="E633">
        <v>41</v>
      </c>
      <c r="F633" t="s">
        <v>14</v>
      </c>
      <c r="G633">
        <v>1</v>
      </c>
      <c r="H633">
        <v>30</v>
      </c>
      <c r="I633">
        <v>30</v>
      </c>
    </row>
    <row r="634" spans="1:9" x14ac:dyDescent="0.3">
      <c r="A634">
        <v>438</v>
      </c>
      <c r="B634" s="1">
        <v>44945</v>
      </c>
      <c r="C634" t="s">
        <v>451</v>
      </c>
      <c r="D634" t="s">
        <v>13</v>
      </c>
      <c r="E634">
        <v>42</v>
      </c>
      <c r="F634" t="s">
        <v>14</v>
      </c>
      <c r="G634">
        <v>1</v>
      </c>
      <c r="H634">
        <v>30</v>
      </c>
      <c r="I634">
        <v>30</v>
      </c>
    </row>
    <row r="635" spans="1:9" x14ac:dyDescent="0.3">
      <c r="A635">
        <v>255</v>
      </c>
      <c r="B635" s="1">
        <v>45024</v>
      </c>
      <c r="C635" t="s">
        <v>268</v>
      </c>
      <c r="D635" t="s">
        <v>10</v>
      </c>
      <c r="E635">
        <v>48</v>
      </c>
      <c r="F635" t="s">
        <v>14</v>
      </c>
      <c r="G635">
        <v>1</v>
      </c>
      <c r="H635">
        <v>30</v>
      </c>
      <c r="I635">
        <v>30</v>
      </c>
    </row>
    <row r="636" spans="1:9" x14ac:dyDescent="0.3">
      <c r="A636">
        <v>195</v>
      </c>
      <c r="B636" s="1">
        <v>44962</v>
      </c>
      <c r="C636" t="s">
        <v>208</v>
      </c>
      <c r="D636" t="s">
        <v>10</v>
      </c>
      <c r="E636">
        <v>52</v>
      </c>
      <c r="F636" t="s">
        <v>14</v>
      </c>
      <c r="G636">
        <v>1</v>
      </c>
      <c r="H636">
        <v>30</v>
      </c>
      <c r="I636">
        <v>30</v>
      </c>
    </row>
    <row r="637" spans="1:9" x14ac:dyDescent="0.3">
      <c r="A637">
        <v>483</v>
      </c>
      <c r="B637" s="1">
        <v>45041</v>
      </c>
      <c r="C637" t="s">
        <v>496</v>
      </c>
      <c r="D637" t="s">
        <v>10</v>
      </c>
      <c r="E637">
        <v>55</v>
      </c>
      <c r="F637" t="s">
        <v>14</v>
      </c>
      <c r="G637">
        <v>1</v>
      </c>
      <c r="H637">
        <v>30</v>
      </c>
      <c r="I637">
        <v>30</v>
      </c>
    </row>
    <row r="638" spans="1:9" x14ac:dyDescent="0.3">
      <c r="A638">
        <v>566</v>
      </c>
      <c r="B638" s="1">
        <v>45262</v>
      </c>
      <c r="C638" t="s">
        <v>579</v>
      </c>
      <c r="D638" t="s">
        <v>13</v>
      </c>
      <c r="E638">
        <v>64</v>
      </c>
      <c r="F638" t="s">
        <v>14</v>
      </c>
      <c r="G638">
        <v>1</v>
      </c>
      <c r="H638">
        <v>30</v>
      </c>
      <c r="I638">
        <v>30</v>
      </c>
    </row>
    <row r="639" spans="1:9" x14ac:dyDescent="0.3">
      <c r="A639">
        <v>242</v>
      </c>
      <c r="B639" s="1">
        <v>45048</v>
      </c>
      <c r="C639" t="s">
        <v>255</v>
      </c>
      <c r="D639" t="s">
        <v>10</v>
      </c>
      <c r="E639">
        <v>21</v>
      </c>
      <c r="F639" t="s">
        <v>14</v>
      </c>
      <c r="G639">
        <v>1</v>
      </c>
      <c r="H639">
        <v>25</v>
      </c>
      <c r="I639">
        <v>25</v>
      </c>
    </row>
    <row r="640" spans="1:9" x14ac:dyDescent="0.3">
      <c r="A640">
        <v>44</v>
      </c>
      <c r="B640" s="1">
        <v>44976</v>
      </c>
      <c r="C640" t="s">
        <v>57</v>
      </c>
      <c r="D640" t="s">
        <v>13</v>
      </c>
      <c r="E640">
        <v>22</v>
      </c>
      <c r="F640" t="s">
        <v>14</v>
      </c>
      <c r="G640">
        <v>1</v>
      </c>
      <c r="H640">
        <v>25</v>
      </c>
      <c r="I640">
        <v>25</v>
      </c>
    </row>
    <row r="641" spans="1:9" x14ac:dyDescent="0.3">
      <c r="A641">
        <v>185</v>
      </c>
      <c r="B641" s="1">
        <v>44984</v>
      </c>
      <c r="C641" t="s">
        <v>198</v>
      </c>
      <c r="D641" t="s">
        <v>10</v>
      </c>
      <c r="E641">
        <v>24</v>
      </c>
      <c r="F641" t="s">
        <v>14</v>
      </c>
      <c r="G641">
        <v>1</v>
      </c>
      <c r="H641">
        <v>25</v>
      </c>
      <c r="I641">
        <v>25</v>
      </c>
    </row>
    <row r="642" spans="1:9" x14ac:dyDescent="0.3">
      <c r="A642">
        <v>585</v>
      </c>
      <c r="B642" s="1">
        <v>45047</v>
      </c>
      <c r="C642" t="s">
        <v>598</v>
      </c>
      <c r="D642" t="s">
        <v>13</v>
      </c>
      <c r="E642">
        <v>24</v>
      </c>
      <c r="F642" t="s">
        <v>14</v>
      </c>
      <c r="G642">
        <v>1</v>
      </c>
      <c r="H642">
        <v>25</v>
      </c>
      <c r="I642">
        <v>25</v>
      </c>
    </row>
    <row r="643" spans="1:9" x14ac:dyDescent="0.3">
      <c r="A643">
        <v>423</v>
      </c>
      <c r="B643" s="1">
        <v>44993</v>
      </c>
      <c r="C643" t="s">
        <v>436</v>
      </c>
      <c r="D643" t="s">
        <v>13</v>
      </c>
      <c r="E643">
        <v>27</v>
      </c>
      <c r="F643" t="s">
        <v>14</v>
      </c>
      <c r="G643">
        <v>1</v>
      </c>
      <c r="H643">
        <v>25</v>
      </c>
      <c r="I643">
        <v>25</v>
      </c>
    </row>
    <row r="644" spans="1:9" x14ac:dyDescent="0.3">
      <c r="A644">
        <v>657</v>
      </c>
      <c r="B644" s="1">
        <v>44968</v>
      </c>
      <c r="C644" t="s">
        <v>670</v>
      </c>
      <c r="D644" t="s">
        <v>10</v>
      </c>
      <c r="E644">
        <v>40</v>
      </c>
      <c r="F644" t="s">
        <v>14</v>
      </c>
      <c r="G644">
        <v>1</v>
      </c>
      <c r="H644">
        <v>25</v>
      </c>
      <c r="I644">
        <v>25</v>
      </c>
    </row>
    <row r="645" spans="1:9" x14ac:dyDescent="0.3">
      <c r="A645">
        <v>764</v>
      </c>
      <c r="B645" s="1">
        <v>45010</v>
      </c>
      <c r="C645" t="s">
        <v>777</v>
      </c>
      <c r="D645" t="s">
        <v>13</v>
      </c>
      <c r="E645">
        <v>40</v>
      </c>
      <c r="F645" t="s">
        <v>14</v>
      </c>
      <c r="G645">
        <v>1</v>
      </c>
      <c r="H645">
        <v>25</v>
      </c>
      <c r="I645">
        <v>25</v>
      </c>
    </row>
    <row r="646" spans="1:9" x14ac:dyDescent="0.3">
      <c r="A646">
        <v>558</v>
      </c>
      <c r="B646" s="1">
        <v>45207</v>
      </c>
      <c r="C646" t="s">
        <v>571</v>
      </c>
      <c r="D646" t="s">
        <v>13</v>
      </c>
      <c r="E646">
        <v>41</v>
      </c>
      <c r="F646" t="s">
        <v>14</v>
      </c>
      <c r="G646">
        <v>1</v>
      </c>
      <c r="H646">
        <v>25</v>
      </c>
      <c r="I646">
        <v>25</v>
      </c>
    </row>
    <row r="647" spans="1:9" x14ac:dyDescent="0.3">
      <c r="A647">
        <v>205</v>
      </c>
      <c r="B647" s="1">
        <v>45237</v>
      </c>
      <c r="C647" t="s">
        <v>218</v>
      </c>
      <c r="D647" t="s">
        <v>13</v>
      </c>
      <c r="E647">
        <v>43</v>
      </c>
      <c r="F647" t="s">
        <v>14</v>
      </c>
      <c r="G647">
        <v>1</v>
      </c>
      <c r="H647">
        <v>25</v>
      </c>
      <c r="I647">
        <v>25</v>
      </c>
    </row>
    <row r="648" spans="1:9" x14ac:dyDescent="0.3">
      <c r="A648">
        <v>379</v>
      </c>
      <c r="B648" s="1">
        <v>44962</v>
      </c>
      <c r="C648" t="s">
        <v>392</v>
      </c>
      <c r="D648" t="s">
        <v>13</v>
      </c>
      <c r="E648">
        <v>47</v>
      </c>
      <c r="F648" t="s">
        <v>14</v>
      </c>
      <c r="G648">
        <v>1</v>
      </c>
      <c r="H648">
        <v>25</v>
      </c>
      <c r="I648">
        <v>25</v>
      </c>
    </row>
    <row r="649" spans="1:9" x14ac:dyDescent="0.3">
      <c r="A649">
        <v>362</v>
      </c>
      <c r="B649" s="1">
        <v>45257</v>
      </c>
      <c r="C649" t="s">
        <v>375</v>
      </c>
      <c r="D649" t="s">
        <v>10</v>
      </c>
      <c r="E649">
        <v>50</v>
      </c>
      <c r="F649" t="s">
        <v>14</v>
      </c>
      <c r="G649">
        <v>1</v>
      </c>
      <c r="H649">
        <v>25</v>
      </c>
      <c r="I649">
        <v>25</v>
      </c>
    </row>
    <row r="650" spans="1:9" x14ac:dyDescent="0.3">
      <c r="A650">
        <v>236</v>
      </c>
      <c r="B650" s="1">
        <v>45044</v>
      </c>
      <c r="C650" t="s">
        <v>249</v>
      </c>
      <c r="D650" t="s">
        <v>13</v>
      </c>
      <c r="E650">
        <v>54</v>
      </c>
      <c r="F650" t="s">
        <v>14</v>
      </c>
      <c r="G650">
        <v>1</v>
      </c>
      <c r="H650">
        <v>25</v>
      </c>
      <c r="I650">
        <v>25</v>
      </c>
    </row>
    <row r="651" spans="1:9" x14ac:dyDescent="0.3">
      <c r="A651">
        <v>952</v>
      </c>
      <c r="B651" s="1">
        <v>45243</v>
      </c>
      <c r="C651" t="s">
        <v>965</v>
      </c>
      <c r="D651" t="s">
        <v>13</v>
      </c>
      <c r="E651">
        <v>57</v>
      </c>
      <c r="F651" t="s">
        <v>14</v>
      </c>
      <c r="G651">
        <v>1</v>
      </c>
      <c r="H651">
        <v>25</v>
      </c>
      <c r="I651">
        <v>25</v>
      </c>
    </row>
    <row r="652" spans="1:9" x14ac:dyDescent="0.3">
      <c r="A652">
        <v>877</v>
      </c>
      <c r="B652" s="1">
        <v>45096</v>
      </c>
      <c r="C652" t="s">
        <v>890</v>
      </c>
      <c r="D652" t="s">
        <v>13</v>
      </c>
      <c r="E652">
        <v>58</v>
      </c>
      <c r="F652" t="s">
        <v>14</v>
      </c>
      <c r="G652">
        <v>1</v>
      </c>
      <c r="H652">
        <v>25</v>
      </c>
      <c r="I652">
        <v>25</v>
      </c>
    </row>
    <row r="653" spans="1:9" x14ac:dyDescent="0.3">
      <c r="A653">
        <v>955</v>
      </c>
      <c r="B653" s="1">
        <v>45121</v>
      </c>
      <c r="C653" t="s">
        <v>968</v>
      </c>
      <c r="D653" t="s">
        <v>10</v>
      </c>
      <c r="E653">
        <v>58</v>
      </c>
      <c r="F653" t="s">
        <v>14</v>
      </c>
      <c r="G653">
        <v>1</v>
      </c>
      <c r="H653">
        <v>25</v>
      </c>
      <c r="I653">
        <v>25</v>
      </c>
    </row>
    <row r="654" spans="1:9" x14ac:dyDescent="0.3">
      <c r="A654">
        <v>103</v>
      </c>
      <c r="B654" s="1">
        <v>44943</v>
      </c>
      <c r="C654" t="s">
        <v>116</v>
      </c>
      <c r="D654" t="s">
        <v>13</v>
      </c>
      <c r="E654">
        <v>59</v>
      </c>
      <c r="F654" t="s">
        <v>14</v>
      </c>
      <c r="G654">
        <v>1</v>
      </c>
      <c r="H654">
        <v>25</v>
      </c>
      <c r="I654">
        <v>25</v>
      </c>
    </row>
    <row r="655" spans="1:9" x14ac:dyDescent="0.3">
      <c r="A655">
        <v>658</v>
      </c>
      <c r="B655" s="1">
        <v>44997</v>
      </c>
      <c r="C655" t="s">
        <v>671</v>
      </c>
      <c r="D655" t="s">
        <v>10</v>
      </c>
      <c r="E655">
        <v>59</v>
      </c>
      <c r="F655" t="s">
        <v>14</v>
      </c>
      <c r="G655">
        <v>1</v>
      </c>
      <c r="H655">
        <v>25</v>
      </c>
      <c r="I655">
        <v>25</v>
      </c>
    </row>
    <row r="656" spans="1:9" x14ac:dyDescent="0.3">
      <c r="A656">
        <v>206</v>
      </c>
      <c r="B656" s="1">
        <v>45143</v>
      </c>
      <c r="C656" t="s">
        <v>219</v>
      </c>
      <c r="D656" t="s">
        <v>10</v>
      </c>
      <c r="E656">
        <v>61</v>
      </c>
      <c r="F656" t="s">
        <v>14</v>
      </c>
      <c r="G656">
        <v>1</v>
      </c>
      <c r="H656">
        <v>25</v>
      </c>
      <c r="I656">
        <v>25</v>
      </c>
    </row>
    <row r="657" spans="1:9" x14ac:dyDescent="0.3">
      <c r="A657">
        <v>318</v>
      </c>
      <c r="B657" s="1">
        <v>45223</v>
      </c>
      <c r="C657" t="s">
        <v>331</v>
      </c>
      <c r="D657" t="s">
        <v>10</v>
      </c>
      <c r="E657">
        <v>61</v>
      </c>
      <c r="F657" t="s">
        <v>14</v>
      </c>
      <c r="G657">
        <v>1</v>
      </c>
      <c r="H657">
        <v>25</v>
      </c>
      <c r="I657">
        <v>25</v>
      </c>
    </row>
    <row r="658" spans="1:9" x14ac:dyDescent="0.3">
      <c r="A658">
        <v>790</v>
      </c>
      <c r="B658" s="1">
        <v>45146</v>
      </c>
      <c r="C658" t="s">
        <v>803</v>
      </c>
      <c r="D658" t="s">
        <v>10</v>
      </c>
      <c r="E658">
        <v>62</v>
      </c>
      <c r="F658" t="s">
        <v>14</v>
      </c>
      <c r="G658">
        <v>1</v>
      </c>
      <c r="H658">
        <v>25</v>
      </c>
      <c r="I658">
        <v>25</v>
      </c>
    </row>
    <row r="659" spans="1:9" x14ac:dyDescent="0.3">
      <c r="A659">
        <v>223</v>
      </c>
      <c r="B659" s="1">
        <v>44959</v>
      </c>
      <c r="C659" t="s">
        <v>236</v>
      </c>
      <c r="D659" t="s">
        <v>13</v>
      </c>
      <c r="E659">
        <v>64</v>
      </c>
      <c r="F659" t="s">
        <v>14</v>
      </c>
      <c r="G659">
        <v>1</v>
      </c>
      <c r="H659">
        <v>25</v>
      </c>
      <c r="I659">
        <v>25</v>
      </c>
    </row>
    <row r="660" spans="1:9" x14ac:dyDescent="0.3">
      <c r="A660">
        <v>412</v>
      </c>
      <c r="B660" s="1">
        <v>45185</v>
      </c>
      <c r="C660" t="s">
        <v>425</v>
      </c>
      <c r="D660" t="s">
        <v>13</v>
      </c>
      <c r="E660">
        <v>19</v>
      </c>
      <c r="F660" t="s">
        <v>16</v>
      </c>
      <c r="G660">
        <v>4</v>
      </c>
      <c r="H660">
        <v>500</v>
      </c>
      <c r="I660">
        <v>2000</v>
      </c>
    </row>
    <row r="661" spans="1:9" x14ac:dyDescent="0.3">
      <c r="A661">
        <v>72</v>
      </c>
      <c r="B661" s="1">
        <v>45069</v>
      </c>
      <c r="C661" t="s">
        <v>85</v>
      </c>
      <c r="D661" t="s">
        <v>13</v>
      </c>
      <c r="E661">
        <v>20</v>
      </c>
      <c r="F661" t="s">
        <v>16</v>
      </c>
      <c r="G661">
        <v>4</v>
      </c>
      <c r="H661">
        <v>500</v>
      </c>
      <c r="I661">
        <v>2000</v>
      </c>
    </row>
    <row r="662" spans="1:9" x14ac:dyDescent="0.3">
      <c r="A662">
        <v>773</v>
      </c>
      <c r="B662" s="1">
        <v>45130</v>
      </c>
      <c r="C662" t="s">
        <v>786</v>
      </c>
      <c r="D662" t="s">
        <v>10</v>
      </c>
      <c r="E662">
        <v>25</v>
      </c>
      <c r="F662" t="s">
        <v>16</v>
      </c>
      <c r="G662">
        <v>4</v>
      </c>
      <c r="H662">
        <v>500</v>
      </c>
      <c r="I662">
        <v>2000</v>
      </c>
    </row>
    <row r="663" spans="1:9" x14ac:dyDescent="0.3">
      <c r="A663">
        <v>118</v>
      </c>
      <c r="B663" s="1">
        <v>45062</v>
      </c>
      <c r="C663" t="s">
        <v>131</v>
      </c>
      <c r="D663" t="s">
        <v>13</v>
      </c>
      <c r="E663">
        <v>30</v>
      </c>
      <c r="F663" t="s">
        <v>16</v>
      </c>
      <c r="G663">
        <v>4</v>
      </c>
      <c r="H663">
        <v>500</v>
      </c>
      <c r="I663">
        <v>2000</v>
      </c>
    </row>
    <row r="664" spans="1:9" x14ac:dyDescent="0.3">
      <c r="A664">
        <v>155</v>
      </c>
      <c r="B664" s="1">
        <v>45063</v>
      </c>
      <c r="C664" t="s">
        <v>168</v>
      </c>
      <c r="D664" t="s">
        <v>10</v>
      </c>
      <c r="E664">
        <v>31</v>
      </c>
      <c r="F664" t="s">
        <v>16</v>
      </c>
      <c r="G664">
        <v>4</v>
      </c>
      <c r="H664">
        <v>500</v>
      </c>
      <c r="I664">
        <v>2000</v>
      </c>
    </row>
    <row r="665" spans="1:9" x14ac:dyDescent="0.3">
      <c r="A665">
        <v>109</v>
      </c>
      <c r="B665" s="1">
        <v>45217</v>
      </c>
      <c r="C665" t="s">
        <v>122</v>
      </c>
      <c r="D665" t="s">
        <v>13</v>
      </c>
      <c r="E665">
        <v>34</v>
      </c>
      <c r="F665" t="s">
        <v>16</v>
      </c>
      <c r="G665">
        <v>4</v>
      </c>
      <c r="H665">
        <v>500</v>
      </c>
      <c r="I665">
        <v>2000</v>
      </c>
    </row>
    <row r="666" spans="1:9" x14ac:dyDescent="0.3">
      <c r="A666">
        <v>700</v>
      </c>
      <c r="B666" s="1">
        <v>45269</v>
      </c>
      <c r="C666" t="s">
        <v>713</v>
      </c>
      <c r="D666" t="s">
        <v>10</v>
      </c>
      <c r="E666">
        <v>36</v>
      </c>
      <c r="F666" t="s">
        <v>16</v>
      </c>
      <c r="G666">
        <v>4</v>
      </c>
      <c r="H666">
        <v>500</v>
      </c>
      <c r="I666">
        <v>2000</v>
      </c>
    </row>
    <row r="667" spans="1:9" x14ac:dyDescent="0.3">
      <c r="A667">
        <v>742</v>
      </c>
      <c r="B667" s="1">
        <v>44947</v>
      </c>
      <c r="C667" t="s">
        <v>755</v>
      </c>
      <c r="D667" t="s">
        <v>13</v>
      </c>
      <c r="E667">
        <v>38</v>
      </c>
      <c r="F667" t="s">
        <v>16</v>
      </c>
      <c r="G667">
        <v>4</v>
      </c>
      <c r="H667">
        <v>500</v>
      </c>
      <c r="I667">
        <v>2000</v>
      </c>
    </row>
    <row r="668" spans="1:9" x14ac:dyDescent="0.3">
      <c r="A668">
        <v>15</v>
      </c>
      <c r="B668" s="1">
        <v>44942</v>
      </c>
      <c r="C668" t="s">
        <v>28</v>
      </c>
      <c r="D668" t="s">
        <v>13</v>
      </c>
      <c r="E668">
        <v>42</v>
      </c>
      <c r="F668" t="s">
        <v>16</v>
      </c>
      <c r="G668">
        <v>4</v>
      </c>
      <c r="H668">
        <v>500</v>
      </c>
      <c r="I668">
        <v>2000</v>
      </c>
    </row>
    <row r="669" spans="1:9" x14ac:dyDescent="0.3">
      <c r="A669">
        <v>152</v>
      </c>
      <c r="B669" s="1">
        <v>44985</v>
      </c>
      <c r="C669" t="s">
        <v>165</v>
      </c>
      <c r="D669" t="s">
        <v>10</v>
      </c>
      <c r="E669">
        <v>43</v>
      </c>
      <c r="F669" t="s">
        <v>16</v>
      </c>
      <c r="G669">
        <v>4</v>
      </c>
      <c r="H669">
        <v>500</v>
      </c>
      <c r="I669">
        <v>2000</v>
      </c>
    </row>
    <row r="670" spans="1:9" x14ac:dyDescent="0.3">
      <c r="A670">
        <v>927</v>
      </c>
      <c r="B670" s="1">
        <v>45101</v>
      </c>
      <c r="C670" t="s">
        <v>940</v>
      </c>
      <c r="D670" t="s">
        <v>10</v>
      </c>
      <c r="E670">
        <v>43</v>
      </c>
      <c r="F670" t="s">
        <v>16</v>
      </c>
      <c r="G670">
        <v>4</v>
      </c>
      <c r="H670">
        <v>500</v>
      </c>
      <c r="I670">
        <v>2000</v>
      </c>
    </row>
    <row r="671" spans="1:9" x14ac:dyDescent="0.3">
      <c r="A671">
        <v>65</v>
      </c>
      <c r="B671" s="1">
        <v>45265</v>
      </c>
      <c r="C671" t="s">
        <v>78</v>
      </c>
      <c r="D671" t="s">
        <v>10</v>
      </c>
      <c r="E671">
        <v>51</v>
      </c>
      <c r="F671" t="s">
        <v>16</v>
      </c>
      <c r="G671">
        <v>4</v>
      </c>
      <c r="H671">
        <v>500</v>
      </c>
      <c r="I671">
        <v>2000</v>
      </c>
    </row>
    <row r="672" spans="1:9" x14ac:dyDescent="0.3">
      <c r="A672">
        <v>875</v>
      </c>
      <c r="B672" s="1">
        <v>45144</v>
      </c>
      <c r="C672" t="s">
        <v>888</v>
      </c>
      <c r="D672" t="s">
        <v>13</v>
      </c>
      <c r="E672">
        <v>51</v>
      </c>
      <c r="F672" t="s">
        <v>16</v>
      </c>
      <c r="G672">
        <v>4</v>
      </c>
      <c r="H672">
        <v>500</v>
      </c>
      <c r="I672">
        <v>2000</v>
      </c>
    </row>
    <row r="673" spans="1:9" x14ac:dyDescent="0.3">
      <c r="A673">
        <v>416</v>
      </c>
      <c r="B673" s="1">
        <v>44974</v>
      </c>
      <c r="C673" t="s">
        <v>429</v>
      </c>
      <c r="D673" t="s">
        <v>10</v>
      </c>
      <c r="E673">
        <v>53</v>
      </c>
      <c r="F673" t="s">
        <v>16</v>
      </c>
      <c r="G673">
        <v>4</v>
      </c>
      <c r="H673">
        <v>500</v>
      </c>
      <c r="I673">
        <v>2000</v>
      </c>
    </row>
    <row r="674" spans="1:9" x14ac:dyDescent="0.3">
      <c r="A674">
        <v>89</v>
      </c>
      <c r="B674" s="1">
        <v>45200</v>
      </c>
      <c r="C674" t="s">
        <v>102</v>
      </c>
      <c r="D674" t="s">
        <v>13</v>
      </c>
      <c r="E674">
        <v>55</v>
      </c>
      <c r="F674" t="s">
        <v>16</v>
      </c>
      <c r="G674">
        <v>4</v>
      </c>
      <c r="H674">
        <v>500</v>
      </c>
      <c r="I674">
        <v>2000</v>
      </c>
    </row>
    <row r="675" spans="1:9" x14ac:dyDescent="0.3">
      <c r="A675">
        <v>970</v>
      </c>
      <c r="B675" s="1">
        <v>45062</v>
      </c>
      <c r="C675" t="s">
        <v>983</v>
      </c>
      <c r="D675" t="s">
        <v>10</v>
      </c>
      <c r="E675">
        <v>59</v>
      </c>
      <c r="F675" t="s">
        <v>16</v>
      </c>
      <c r="G675">
        <v>4</v>
      </c>
      <c r="H675">
        <v>500</v>
      </c>
      <c r="I675">
        <v>2000</v>
      </c>
    </row>
    <row r="676" spans="1:9" x14ac:dyDescent="0.3">
      <c r="A676">
        <v>634</v>
      </c>
      <c r="B676" s="1">
        <v>45207</v>
      </c>
      <c r="C676" t="s">
        <v>647</v>
      </c>
      <c r="D676" t="s">
        <v>10</v>
      </c>
      <c r="E676">
        <v>60</v>
      </c>
      <c r="F676" t="s">
        <v>16</v>
      </c>
      <c r="G676">
        <v>4</v>
      </c>
      <c r="H676">
        <v>500</v>
      </c>
      <c r="I676">
        <v>2000</v>
      </c>
    </row>
    <row r="677" spans="1:9" x14ac:dyDescent="0.3">
      <c r="A677">
        <v>157</v>
      </c>
      <c r="B677" s="1">
        <v>45101</v>
      </c>
      <c r="C677" t="s">
        <v>170</v>
      </c>
      <c r="D677" t="s">
        <v>10</v>
      </c>
      <c r="E677">
        <v>62</v>
      </c>
      <c r="F677" t="s">
        <v>16</v>
      </c>
      <c r="G677">
        <v>4</v>
      </c>
      <c r="H677">
        <v>500</v>
      </c>
      <c r="I677">
        <v>2000</v>
      </c>
    </row>
    <row r="678" spans="1:9" x14ac:dyDescent="0.3">
      <c r="A678">
        <v>946</v>
      </c>
      <c r="B678" s="1">
        <v>45054</v>
      </c>
      <c r="C678" t="s">
        <v>959</v>
      </c>
      <c r="D678" t="s">
        <v>10</v>
      </c>
      <c r="E678">
        <v>62</v>
      </c>
      <c r="F678" t="s">
        <v>16</v>
      </c>
      <c r="G678">
        <v>4</v>
      </c>
      <c r="H678">
        <v>500</v>
      </c>
      <c r="I678">
        <v>2000</v>
      </c>
    </row>
    <row r="679" spans="1:9" x14ac:dyDescent="0.3">
      <c r="A679">
        <v>533</v>
      </c>
      <c r="B679" s="1">
        <v>45246</v>
      </c>
      <c r="C679" t="s">
        <v>546</v>
      </c>
      <c r="D679" t="s">
        <v>10</v>
      </c>
      <c r="E679">
        <v>19</v>
      </c>
      <c r="F679" t="s">
        <v>16</v>
      </c>
      <c r="G679">
        <v>3</v>
      </c>
      <c r="H679">
        <v>500</v>
      </c>
      <c r="I679">
        <v>1500</v>
      </c>
    </row>
    <row r="680" spans="1:9" x14ac:dyDescent="0.3">
      <c r="A680">
        <v>13</v>
      </c>
      <c r="B680" s="1">
        <v>45143</v>
      </c>
      <c r="C680" t="s">
        <v>26</v>
      </c>
      <c r="D680" t="s">
        <v>10</v>
      </c>
      <c r="E680">
        <v>22</v>
      </c>
      <c r="F680" t="s">
        <v>16</v>
      </c>
      <c r="G680">
        <v>3</v>
      </c>
      <c r="H680">
        <v>500</v>
      </c>
      <c r="I680">
        <v>1500</v>
      </c>
    </row>
    <row r="681" spans="1:9" x14ac:dyDescent="0.3">
      <c r="A681">
        <v>369</v>
      </c>
      <c r="B681" s="1">
        <v>45245</v>
      </c>
      <c r="C681" t="s">
        <v>382</v>
      </c>
      <c r="D681" t="s">
        <v>10</v>
      </c>
      <c r="E681">
        <v>23</v>
      </c>
      <c r="F681" t="s">
        <v>16</v>
      </c>
      <c r="G681">
        <v>3</v>
      </c>
      <c r="H681">
        <v>500</v>
      </c>
      <c r="I681">
        <v>1500</v>
      </c>
    </row>
    <row r="682" spans="1:9" x14ac:dyDescent="0.3">
      <c r="A682">
        <v>710</v>
      </c>
      <c r="B682" s="1">
        <v>45230</v>
      </c>
      <c r="C682" t="s">
        <v>723</v>
      </c>
      <c r="D682" t="s">
        <v>13</v>
      </c>
      <c r="E682">
        <v>26</v>
      </c>
      <c r="F682" t="s">
        <v>16</v>
      </c>
      <c r="G682">
        <v>3</v>
      </c>
      <c r="H682">
        <v>500</v>
      </c>
      <c r="I682">
        <v>1500</v>
      </c>
    </row>
    <row r="683" spans="1:9" x14ac:dyDescent="0.3">
      <c r="A683">
        <v>711</v>
      </c>
      <c r="B683" s="1">
        <v>45215</v>
      </c>
      <c r="C683" t="s">
        <v>724</v>
      </c>
      <c r="D683" t="s">
        <v>10</v>
      </c>
      <c r="E683">
        <v>26</v>
      </c>
      <c r="F683" t="s">
        <v>16</v>
      </c>
      <c r="G683">
        <v>3</v>
      </c>
      <c r="H683">
        <v>500</v>
      </c>
      <c r="I683">
        <v>1500</v>
      </c>
    </row>
    <row r="684" spans="1:9" x14ac:dyDescent="0.3">
      <c r="A684">
        <v>111</v>
      </c>
      <c r="B684" s="1">
        <v>45035</v>
      </c>
      <c r="C684" t="s">
        <v>124</v>
      </c>
      <c r="D684" t="s">
        <v>13</v>
      </c>
      <c r="E684">
        <v>34</v>
      </c>
      <c r="F684" t="s">
        <v>16</v>
      </c>
      <c r="G684">
        <v>3</v>
      </c>
      <c r="H684">
        <v>500</v>
      </c>
      <c r="I684">
        <v>1500</v>
      </c>
    </row>
    <row r="685" spans="1:9" x14ac:dyDescent="0.3">
      <c r="A685">
        <v>507</v>
      </c>
      <c r="B685" s="1">
        <v>45232</v>
      </c>
      <c r="C685" t="s">
        <v>520</v>
      </c>
      <c r="D685" t="s">
        <v>13</v>
      </c>
      <c r="E685">
        <v>37</v>
      </c>
      <c r="F685" t="s">
        <v>16</v>
      </c>
      <c r="G685">
        <v>3</v>
      </c>
      <c r="H685">
        <v>500</v>
      </c>
      <c r="I685">
        <v>1500</v>
      </c>
    </row>
    <row r="686" spans="1:9" x14ac:dyDescent="0.3">
      <c r="A686">
        <v>54</v>
      </c>
      <c r="B686" s="1">
        <v>44967</v>
      </c>
      <c r="C686" t="s">
        <v>67</v>
      </c>
      <c r="D686" t="s">
        <v>13</v>
      </c>
      <c r="E686">
        <v>38</v>
      </c>
      <c r="F686" t="s">
        <v>16</v>
      </c>
      <c r="G686">
        <v>3</v>
      </c>
      <c r="H686">
        <v>500</v>
      </c>
      <c r="I686">
        <v>1500</v>
      </c>
    </row>
    <row r="687" spans="1:9" x14ac:dyDescent="0.3">
      <c r="A687">
        <v>239</v>
      </c>
      <c r="B687" s="1">
        <v>45096</v>
      </c>
      <c r="C687" t="s">
        <v>252</v>
      </c>
      <c r="D687" t="s">
        <v>10</v>
      </c>
      <c r="E687">
        <v>38</v>
      </c>
      <c r="F687" t="s">
        <v>16</v>
      </c>
      <c r="G687">
        <v>3</v>
      </c>
      <c r="H687">
        <v>500</v>
      </c>
      <c r="I687">
        <v>1500</v>
      </c>
    </row>
    <row r="688" spans="1:9" x14ac:dyDescent="0.3">
      <c r="A688">
        <v>356</v>
      </c>
      <c r="B688" s="1">
        <v>45087</v>
      </c>
      <c r="C688" t="s">
        <v>369</v>
      </c>
      <c r="D688" t="s">
        <v>10</v>
      </c>
      <c r="E688">
        <v>50</v>
      </c>
      <c r="F688" t="s">
        <v>16</v>
      </c>
      <c r="G688">
        <v>3</v>
      </c>
      <c r="H688">
        <v>500</v>
      </c>
      <c r="I688">
        <v>1500</v>
      </c>
    </row>
    <row r="689" spans="1:9" x14ac:dyDescent="0.3">
      <c r="A689">
        <v>385</v>
      </c>
      <c r="B689" s="1">
        <v>45205</v>
      </c>
      <c r="C689" t="s">
        <v>398</v>
      </c>
      <c r="D689" t="s">
        <v>10</v>
      </c>
      <c r="E689">
        <v>50</v>
      </c>
      <c r="F689" t="s">
        <v>16</v>
      </c>
      <c r="G689">
        <v>3</v>
      </c>
      <c r="H689">
        <v>500</v>
      </c>
      <c r="I689">
        <v>1500</v>
      </c>
    </row>
    <row r="690" spans="1:9" x14ac:dyDescent="0.3">
      <c r="A690">
        <v>608</v>
      </c>
      <c r="B690" s="1">
        <v>45262</v>
      </c>
      <c r="C690" t="s">
        <v>621</v>
      </c>
      <c r="D690" t="s">
        <v>13</v>
      </c>
      <c r="E690">
        <v>55</v>
      </c>
      <c r="F690" t="s">
        <v>16</v>
      </c>
      <c r="G690">
        <v>3</v>
      </c>
      <c r="H690">
        <v>500</v>
      </c>
      <c r="I690">
        <v>1500</v>
      </c>
    </row>
    <row r="691" spans="1:9" x14ac:dyDescent="0.3">
      <c r="A691">
        <v>859</v>
      </c>
      <c r="B691" s="1">
        <v>45156</v>
      </c>
      <c r="C691" t="s">
        <v>872</v>
      </c>
      <c r="D691" t="s">
        <v>13</v>
      </c>
      <c r="E691">
        <v>56</v>
      </c>
      <c r="F691" t="s">
        <v>16</v>
      </c>
      <c r="G691">
        <v>3</v>
      </c>
      <c r="H691">
        <v>500</v>
      </c>
      <c r="I691">
        <v>1500</v>
      </c>
    </row>
    <row r="692" spans="1:9" x14ac:dyDescent="0.3">
      <c r="A692">
        <v>676</v>
      </c>
      <c r="B692" s="1">
        <v>45126</v>
      </c>
      <c r="C692" t="s">
        <v>689</v>
      </c>
      <c r="D692" t="s">
        <v>10</v>
      </c>
      <c r="E692">
        <v>63</v>
      </c>
      <c r="F692" t="s">
        <v>16</v>
      </c>
      <c r="G692">
        <v>3</v>
      </c>
      <c r="H692">
        <v>500</v>
      </c>
      <c r="I692">
        <v>1500</v>
      </c>
    </row>
    <row r="693" spans="1:9" x14ac:dyDescent="0.3">
      <c r="A693">
        <v>847</v>
      </c>
      <c r="B693" s="1">
        <v>45024</v>
      </c>
      <c r="C693" t="s">
        <v>860</v>
      </c>
      <c r="D693" t="s">
        <v>13</v>
      </c>
      <c r="E693">
        <v>18</v>
      </c>
      <c r="F693" t="s">
        <v>16</v>
      </c>
      <c r="G693">
        <v>4</v>
      </c>
      <c r="H693">
        <v>300</v>
      </c>
      <c r="I693">
        <v>1200</v>
      </c>
    </row>
    <row r="694" spans="1:9" x14ac:dyDescent="0.3">
      <c r="A694">
        <v>181</v>
      </c>
      <c r="B694" s="1">
        <v>45233</v>
      </c>
      <c r="C694" t="s">
        <v>194</v>
      </c>
      <c r="D694" t="s">
        <v>10</v>
      </c>
      <c r="E694">
        <v>19</v>
      </c>
      <c r="F694" t="s">
        <v>16</v>
      </c>
      <c r="G694">
        <v>4</v>
      </c>
      <c r="H694">
        <v>300</v>
      </c>
      <c r="I694">
        <v>1200</v>
      </c>
    </row>
    <row r="695" spans="1:9" x14ac:dyDescent="0.3">
      <c r="A695">
        <v>46</v>
      </c>
      <c r="B695" s="1">
        <v>45103</v>
      </c>
      <c r="C695" t="s">
        <v>59</v>
      </c>
      <c r="D695" t="s">
        <v>13</v>
      </c>
      <c r="E695">
        <v>20</v>
      </c>
      <c r="F695" t="s">
        <v>16</v>
      </c>
      <c r="G695">
        <v>4</v>
      </c>
      <c r="H695">
        <v>300</v>
      </c>
      <c r="I695">
        <v>1200</v>
      </c>
    </row>
    <row r="696" spans="1:9" x14ac:dyDescent="0.3">
      <c r="A696">
        <v>839</v>
      </c>
      <c r="B696" s="1">
        <v>45101</v>
      </c>
      <c r="C696" t="s">
        <v>852</v>
      </c>
      <c r="D696" t="s">
        <v>13</v>
      </c>
      <c r="E696">
        <v>20</v>
      </c>
      <c r="F696" t="s">
        <v>16</v>
      </c>
      <c r="G696">
        <v>4</v>
      </c>
      <c r="H696">
        <v>300</v>
      </c>
      <c r="I696">
        <v>1200</v>
      </c>
    </row>
    <row r="697" spans="1:9" x14ac:dyDescent="0.3">
      <c r="A697">
        <v>320</v>
      </c>
      <c r="B697" s="1">
        <v>44958</v>
      </c>
      <c r="C697" t="s">
        <v>333</v>
      </c>
      <c r="D697" t="s">
        <v>13</v>
      </c>
      <c r="E697">
        <v>28</v>
      </c>
      <c r="F697" t="s">
        <v>16</v>
      </c>
      <c r="G697">
        <v>4</v>
      </c>
      <c r="H697">
        <v>300</v>
      </c>
      <c r="I697">
        <v>1200</v>
      </c>
    </row>
    <row r="698" spans="1:9" x14ac:dyDescent="0.3">
      <c r="A698">
        <v>862</v>
      </c>
      <c r="B698" s="1">
        <v>45077</v>
      </c>
      <c r="C698" t="s">
        <v>875</v>
      </c>
      <c r="D698" t="s">
        <v>10</v>
      </c>
      <c r="E698">
        <v>28</v>
      </c>
      <c r="F698" t="s">
        <v>16</v>
      </c>
      <c r="G698">
        <v>4</v>
      </c>
      <c r="H698">
        <v>300</v>
      </c>
      <c r="I698">
        <v>1200</v>
      </c>
    </row>
    <row r="699" spans="1:9" x14ac:dyDescent="0.3">
      <c r="A699">
        <v>828</v>
      </c>
      <c r="B699" s="1">
        <v>45269</v>
      </c>
      <c r="C699" t="s">
        <v>841</v>
      </c>
      <c r="D699" t="s">
        <v>13</v>
      </c>
      <c r="E699">
        <v>33</v>
      </c>
      <c r="F699" t="s">
        <v>16</v>
      </c>
      <c r="G699">
        <v>4</v>
      </c>
      <c r="H699">
        <v>300</v>
      </c>
      <c r="I699">
        <v>1200</v>
      </c>
    </row>
    <row r="700" spans="1:9" x14ac:dyDescent="0.3">
      <c r="A700">
        <v>361</v>
      </c>
      <c r="B700" s="1">
        <v>45270</v>
      </c>
      <c r="C700" t="s">
        <v>374</v>
      </c>
      <c r="D700" t="s">
        <v>13</v>
      </c>
      <c r="E700">
        <v>34</v>
      </c>
      <c r="F700" t="s">
        <v>16</v>
      </c>
      <c r="G700">
        <v>4</v>
      </c>
      <c r="H700">
        <v>300</v>
      </c>
      <c r="I700">
        <v>1200</v>
      </c>
    </row>
    <row r="701" spans="1:9" x14ac:dyDescent="0.3">
      <c r="A701">
        <v>142</v>
      </c>
      <c r="B701" s="1">
        <v>44959</v>
      </c>
      <c r="C701" t="s">
        <v>155</v>
      </c>
      <c r="D701" t="s">
        <v>10</v>
      </c>
      <c r="E701">
        <v>35</v>
      </c>
      <c r="F701" t="s">
        <v>16</v>
      </c>
      <c r="G701">
        <v>4</v>
      </c>
      <c r="H701">
        <v>300</v>
      </c>
      <c r="I701">
        <v>1200</v>
      </c>
    </row>
    <row r="702" spans="1:9" x14ac:dyDescent="0.3">
      <c r="A702">
        <v>437</v>
      </c>
      <c r="B702" s="1">
        <v>45206</v>
      </c>
      <c r="C702" t="s">
        <v>450</v>
      </c>
      <c r="D702" t="s">
        <v>13</v>
      </c>
      <c r="E702">
        <v>35</v>
      </c>
      <c r="F702" t="s">
        <v>16</v>
      </c>
      <c r="G702">
        <v>4</v>
      </c>
      <c r="H702">
        <v>300</v>
      </c>
      <c r="I702">
        <v>1200</v>
      </c>
    </row>
    <row r="703" spans="1:9" x14ac:dyDescent="0.3">
      <c r="A703">
        <v>481</v>
      </c>
      <c r="B703" s="1">
        <v>45083</v>
      </c>
      <c r="C703" t="s">
        <v>494</v>
      </c>
      <c r="D703" t="s">
        <v>13</v>
      </c>
      <c r="E703">
        <v>43</v>
      </c>
      <c r="F703" t="s">
        <v>16</v>
      </c>
      <c r="G703">
        <v>4</v>
      </c>
      <c r="H703">
        <v>300</v>
      </c>
      <c r="I703">
        <v>1200</v>
      </c>
    </row>
    <row r="704" spans="1:9" x14ac:dyDescent="0.3">
      <c r="A704">
        <v>757</v>
      </c>
      <c r="B704" s="1">
        <v>45285</v>
      </c>
      <c r="C704" t="s">
        <v>770</v>
      </c>
      <c r="D704" t="s">
        <v>13</v>
      </c>
      <c r="E704">
        <v>43</v>
      </c>
      <c r="F704" t="s">
        <v>16</v>
      </c>
      <c r="G704">
        <v>4</v>
      </c>
      <c r="H704">
        <v>300</v>
      </c>
      <c r="I704">
        <v>1200</v>
      </c>
    </row>
    <row r="705" spans="1:9" x14ac:dyDescent="0.3">
      <c r="A705">
        <v>31</v>
      </c>
      <c r="B705" s="1">
        <v>45069</v>
      </c>
      <c r="C705" t="s">
        <v>44</v>
      </c>
      <c r="D705" t="s">
        <v>10</v>
      </c>
      <c r="E705">
        <v>44</v>
      </c>
      <c r="F705" t="s">
        <v>16</v>
      </c>
      <c r="G705">
        <v>4</v>
      </c>
      <c r="H705">
        <v>300</v>
      </c>
      <c r="I705">
        <v>1200</v>
      </c>
    </row>
    <row r="706" spans="1:9" x14ac:dyDescent="0.3">
      <c r="A706">
        <v>99</v>
      </c>
      <c r="B706" s="1">
        <v>45277</v>
      </c>
      <c r="C706" t="s">
        <v>112</v>
      </c>
      <c r="D706" t="s">
        <v>13</v>
      </c>
      <c r="E706">
        <v>50</v>
      </c>
      <c r="F706" t="s">
        <v>16</v>
      </c>
      <c r="G706">
        <v>4</v>
      </c>
      <c r="H706">
        <v>300</v>
      </c>
      <c r="I706">
        <v>1200</v>
      </c>
    </row>
    <row r="707" spans="1:9" x14ac:dyDescent="0.3">
      <c r="A707">
        <v>479</v>
      </c>
      <c r="B707" s="1">
        <v>45162</v>
      </c>
      <c r="C707" t="s">
        <v>492</v>
      </c>
      <c r="D707" t="s">
        <v>10</v>
      </c>
      <c r="E707">
        <v>52</v>
      </c>
      <c r="F707" t="s">
        <v>16</v>
      </c>
      <c r="G707">
        <v>4</v>
      </c>
      <c r="H707">
        <v>300</v>
      </c>
      <c r="I707">
        <v>1200</v>
      </c>
    </row>
    <row r="708" spans="1:9" x14ac:dyDescent="0.3">
      <c r="A708">
        <v>333</v>
      </c>
      <c r="B708" s="1">
        <v>44962</v>
      </c>
      <c r="C708" t="s">
        <v>346</v>
      </c>
      <c r="D708" t="s">
        <v>13</v>
      </c>
      <c r="E708">
        <v>54</v>
      </c>
      <c r="F708" t="s">
        <v>16</v>
      </c>
      <c r="G708">
        <v>4</v>
      </c>
      <c r="H708">
        <v>300</v>
      </c>
      <c r="I708">
        <v>1200</v>
      </c>
    </row>
    <row r="709" spans="1:9" x14ac:dyDescent="0.3">
      <c r="A709">
        <v>332</v>
      </c>
      <c r="B709" s="1">
        <v>45022</v>
      </c>
      <c r="C709" t="s">
        <v>345</v>
      </c>
      <c r="D709" t="s">
        <v>10</v>
      </c>
      <c r="E709">
        <v>58</v>
      </c>
      <c r="F709" t="s">
        <v>16</v>
      </c>
      <c r="G709">
        <v>4</v>
      </c>
      <c r="H709">
        <v>300</v>
      </c>
      <c r="I709">
        <v>1200</v>
      </c>
    </row>
    <row r="710" spans="1:9" x14ac:dyDescent="0.3">
      <c r="A710">
        <v>756</v>
      </c>
      <c r="B710" s="1">
        <v>45165</v>
      </c>
      <c r="C710" t="s">
        <v>769</v>
      </c>
      <c r="D710" t="s">
        <v>13</v>
      </c>
      <c r="E710">
        <v>62</v>
      </c>
      <c r="F710" t="s">
        <v>16</v>
      </c>
      <c r="G710">
        <v>4</v>
      </c>
      <c r="H710">
        <v>300</v>
      </c>
      <c r="I710">
        <v>1200</v>
      </c>
    </row>
    <row r="711" spans="1:9" x14ac:dyDescent="0.3">
      <c r="A711">
        <v>431</v>
      </c>
      <c r="B711" s="1">
        <v>45214</v>
      </c>
      <c r="C711" t="s">
        <v>444</v>
      </c>
      <c r="D711" t="s">
        <v>10</v>
      </c>
      <c r="E711">
        <v>63</v>
      </c>
      <c r="F711" t="s">
        <v>16</v>
      </c>
      <c r="G711">
        <v>4</v>
      </c>
      <c r="H711">
        <v>300</v>
      </c>
      <c r="I711">
        <v>1200</v>
      </c>
    </row>
    <row r="712" spans="1:9" x14ac:dyDescent="0.3">
      <c r="A712">
        <v>462</v>
      </c>
      <c r="B712" s="1">
        <v>45017</v>
      </c>
      <c r="C712" t="s">
        <v>475</v>
      </c>
      <c r="D712" t="s">
        <v>10</v>
      </c>
      <c r="E712">
        <v>63</v>
      </c>
      <c r="F712" t="s">
        <v>16</v>
      </c>
      <c r="G712">
        <v>4</v>
      </c>
      <c r="H712">
        <v>300</v>
      </c>
      <c r="I712">
        <v>1200</v>
      </c>
    </row>
    <row r="713" spans="1:9" x14ac:dyDescent="0.3">
      <c r="A713">
        <v>117</v>
      </c>
      <c r="B713" s="1">
        <v>45000</v>
      </c>
      <c r="C713" t="s">
        <v>130</v>
      </c>
      <c r="D713" t="s">
        <v>10</v>
      </c>
      <c r="E713">
        <v>19</v>
      </c>
      <c r="F713" t="s">
        <v>16</v>
      </c>
      <c r="G713">
        <v>2</v>
      </c>
      <c r="H713">
        <v>500</v>
      </c>
      <c r="I713">
        <v>1000</v>
      </c>
    </row>
    <row r="714" spans="1:9" x14ac:dyDescent="0.3">
      <c r="A714">
        <v>709</v>
      </c>
      <c r="B714" s="1">
        <v>45128</v>
      </c>
      <c r="C714" t="s">
        <v>722</v>
      </c>
      <c r="D714" t="s">
        <v>13</v>
      </c>
      <c r="E714">
        <v>19</v>
      </c>
      <c r="F714" t="s">
        <v>16</v>
      </c>
      <c r="G714">
        <v>2</v>
      </c>
      <c r="H714">
        <v>500</v>
      </c>
      <c r="I714">
        <v>1000</v>
      </c>
    </row>
    <row r="715" spans="1:9" x14ac:dyDescent="0.3">
      <c r="A715">
        <v>235</v>
      </c>
      <c r="B715" s="1">
        <v>44957</v>
      </c>
      <c r="C715" t="s">
        <v>248</v>
      </c>
      <c r="D715" t="s">
        <v>13</v>
      </c>
      <c r="E715">
        <v>23</v>
      </c>
      <c r="F715" t="s">
        <v>16</v>
      </c>
      <c r="G715">
        <v>2</v>
      </c>
      <c r="H715">
        <v>500</v>
      </c>
      <c r="I715">
        <v>1000</v>
      </c>
    </row>
    <row r="716" spans="1:9" x14ac:dyDescent="0.3">
      <c r="A716">
        <v>26</v>
      </c>
      <c r="B716" s="1">
        <v>45206</v>
      </c>
      <c r="C716" t="s">
        <v>39</v>
      </c>
      <c r="D716" t="s">
        <v>13</v>
      </c>
      <c r="E716">
        <v>28</v>
      </c>
      <c r="F716" t="s">
        <v>16</v>
      </c>
      <c r="G716">
        <v>2</v>
      </c>
      <c r="H716">
        <v>500</v>
      </c>
      <c r="I716">
        <v>1000</v>
      </c>
    </row>
    <row r="717" spans="1:9" x14ac:dyDescent="0.3">
      <c r="A717">
        <v>605</v>
      </c>
      <c r="B717" s="1">
        <v>45131</v>
      </c>
      <c r="C717" t="s">
        <v>618</v>
      </c>
      <c r="D717" t="s">
        <v>10</v>
      </c>
      <c r="E717">
        <v>37</v>
      </c>
      <c r="F717" t="s">
        <v>16</v>
      </c>
      <c r="G717">
        <v>2</v>
      </c>
      <c r="H717">
        <v>500</v>
      </c>
      <c r="I717">
        <v>1000</v>
      </c>
    </row>
    <row r="718" spans="1:9" x14ac:dyDescent="0.3">
      <c r="A718">
        <v>297</v>
      </c>
      <c r="B718" s="1">
        <v>45173</v>
      </c>
      <c r="C718" t="s">
        <v>310</v>
      </c>
      <c r="D718" t="s">
        <v>13</v>
      </c>
      <c r="E718">
        <v>40</v>
      </c>
      <c r="F718" t="s">
        <v>16</v>
      </c>
      <c r="G718">
        <v>2</v>
      </c>
      <c r="H718">
        <v>500</v>
      </c>
      <c r="I718">
        <v>1000</v>
      </c>
    </row>
    <row r="719" spans="1:9" x14ac:dyDescent="0.3">
      <c r="A719">
        <v>404</v>
      </c>
      <c r="B719" s="1">
        <v>45071</v>
      </c>
      <c r="C719" t="s">
        <v>417</v>
      </c>
      <c r="D719" t="s">
        <v>10</v>
      </c>
      <c r="E719">
        <v>46</v>
      </c>
      <c r="F719" t="s">
        <v>16</v>
      </c>
      <c r="G719">
        <v>2</v>
      </c>
      <c r="H719">
        <v>500</v>
      </c>
      <c r="I719">
        <v>1000</v>
      </c>
    </row>
    <row r="720" spans="1:9" x14ac:dyDescent="0.3">
      <c r="A720">
        <v>395</v>
      </c>
      <c r="B720" s="1">
        <v>45266</v>
      </c>
      <c r="C720" t="s">
        <v>408</v>
      </c>
      <c r="D720" t="s">
        <v>10</v>
      </c>
      <c r="E720">
        <v>50</v>
      </c>
      <c r="F720" t="s">
        <v>16</v>
      </c>
      <c r="G720">
        <v>2</v>
      </c>
      <c r="H720">
        <v>500</v>
      </c>
      <c r="I720">
        <v>1000</v>
      </c>
    </row>
    <row r="721" spans="1:9" x14ac:dyDescent="0.3">
      <c r="A721">
        <v>49</v>
      </c>
      <c r="B721" s="1">
        <v>44949</v>
      </c>
      <c r="C721" t="s">
        <v>62</v>
      </c>
      <c r="D721" t="s">
        <v>13</v>
      </c>
      <c r="E721">
        <v>54</v>
      </c>
      <c r="F721" t="s">
        <v>16</v>
      </c>
      <c r="G721">
        <v>2</v>
      </c>
      <c r="H721">
        <v>500</v>
      </c>
      <c r="I721">
        <v>1000</v>
      </c>
    </row>
    <row r="722" spans="1:9" x14ac:dyDescent="0.3">
      <c r="A722">
        <v>779</v>
      </c>
      <c r="B722" s="1">
        <v>45051</v>
      </c>
      <c r="C722" t="s">
        <v>792</v>
      </c>
      <c r="D722" t="s">
        <v>13</v>
      </c>
      <c r="E722">
        <v>56</v>
      </c>
      <c r="F722" t="s">
        <v>16</v>
      </c>
      <c r="G722">
        <v>2</v>
      </c>
      <c r="H722">
        <v>500</v>
      </c>
      <c r="I722">
        <v>1000</v>
      </c>
    </row>
    <row r="723" spans="1:9" x14ac:dyDescent="0.3">
      <c r="A723">
        <v>352</v>
      </c>
      <c r="B723" s="1">
        <v>45088</v>
      </c>
      <c r="C723" t="s">
        <v>365</v>
      </c>
      <c r="D723" t="s">
        <v>10</v>
      </c>
      <c r="E723">
        <v>57</v>
      </c>
      <c r="F723" t="s">
        <v>16</v>
      </c>
      <c r="G723">
        <v>2</v>
      </c>
      <c r="H723">
        <v>500</v>
      </c>
      <c r="I723">
        <v>1000</v>
      </c>
    </row>
    <row r="724" spans="1:9" x14ac:dyDescent="0.3">
      <c r="A724">
        <v>418</v>
      </c>
      <c r="B724" s="1">
        <v>45143</v>
      </c>
      <c r="C724" t="s">
        <v>431</v>
      </c>
      <c r="D724" t="s">
        <v>13</v>
      </c>
      <c r="E724">
        <v>60</v>
      </c>
      <c r="F724" t="s">
        <v>16</v>
      </c>
      <c r="G724">
        <v>2</v>
      </c>
      <c r="H724">
        <v>500</v>
      </c>
      <c r="I724">
        <v>1000</v>
      </c>
    </row>
    <row r="725" spans="1:9" x14ac:dyDescent="0.3">
      <c r="A725">
        <v>432</v>
      </c>
      <c r="B725" s="1">
        <v>44931</v>
      </c>
      <c r="C725" t="s">
        <v>445</v>
      </c>
      <c r="D725" t="s">
        <v>13</v>
      </c>
      <c r="E725">
        <v>60</v>
      </c>
      <c r="F725" t="s">
        <v>16</v>
      </c>
      <c r="G725">
        <v>2</v>
      </c>
      <c r="H725">
        <v>500</v>
      </c>
      <c r="I725">
        <v>1000</v>
      </c>
    </row>
    <row r="726" spans="1:9" x14ac:dyDescent="0.3">
      <c r="A726">
        <v>966</v>
      </c>
      <c r="B726" s="1">
        <v>44977</v>
      </c>
      <c r="C726" t="s">
        <v>979</v>
      </c>
      <c r="D726" t="s">
        <v>10</v>
      </c>
      <c r="E726">
        <v>60</v>
      </c>
      <c r="F726" t="s">
        <v>16</v>
      </c>
      <c r="G726">
        <v>2</v>
      </c>
      <c r="H726">
        <v>500</v>
      </c>
      <c r="I726">
        <v>1000</v>
      </c>
    </row>
    <row r="727" spans="1:9" x14ac:dyDescent="0.3">
      <c r="A727">
        <v>299</v>
      </c>
      <c r="B727" s="1">
        <v>45132</v>
      </c>
      <c r="C727" t="s">
        <v>312</v>
      </c>
      <c r="D727" t="s">
        <v>10</v>
      </c>
      <c r="E727">
        <v>61</v>
      </c>
      <c r="F727" t="s">
        <v>16</v>
      </c>
      <c r="G727">
        <v>2</v>
      </c>
      <c r="H727">
        <v>500</v>
      </c>
      <c r="I727">
        <v>1000</v>
      </c>
    </row>
    <row r="728" spans="1:9" x14ac:dyDescent="0.3">
      <c r="A728">
        <v>732</v>
      </c>
      <c r="B728" s="1">
        <v>44968</v>
      </c>
      <c r="C728" t="s">
        <v>745</v>
      </c>
      <c r="D728" t="s">
        <v>10</v>
      </c>
      <c r="E728">
        <v>61</v>
      </c>
      <c r="F728" t="s">
        <v>16</v>
      </c>
      <c r="G728">
        <v>2</v>
      </c>
      <c r="H728">
        <v>500</v>
      </c>
      <c r="I728">
        <v>1000</v>
      </c>
    </row>
    <row r="729" spans="1:9" x14ac:dyDescent="0.3">
      <c r="A729">
        <v>153</v>
      </c>
      <c r="B729" s="1">
        <v>45276</v>
      </c>
      <c r="C729" t="s">
        <v>166</v>
      </c>
      <c r="D729" t="s">
        <v>10</v>
      </c>
      <c r="E729">
        <v>63</v>
      </c>
      <c r="F729" t="s">
        <v>16</v>
      </c>
      <c r="G729">
        <v>2</v>
      </c>
      <c r="H729">
        <v>500</v>
      </c>
      <c r="I729">
        <v>1000</v>
      </c>
    </row>
    <row r="730" spans="1:9" x14ac:dyDescent="0.3">
      <c r="A730">
        <v>133</v>
      </c>
      <c r="B730" s="1">
        <v>44973</v>
      </c>
      <c r="C730" t="s">
        <v>146</v>
      </c>
      <c r="D730" t="s">
        <v>10</v>
      </c>
      <c r="E730">
        <v>20</v>
      </c>
      <c r="F730" t="s">
        <v>16</v>
      </c>
      <c r="G730">
        <v>3</v>
      </c>
      <c r="H730">
        <v>300</v>
      </c>
      <c r="I730">
        <v>900</v>
      </c>
    </row>
    <row r="731" spans="1:9" x14ac:dyDescent="0.3">
      <c r="A731">
        <v>409</v>
      </c>
      <c r="B731" s="1">
        <v>45278</v>
      </c>
      <c r="C731" t="s">
        <v>422</v>
      </c>
      <c r="D731" t="s">
        <v>13</v>
      </c>
      <c r="E731">
        <v>21</v>
      </c>
      <c r="F731" t="s">
        <v>16</v>
      </c>
      <c r="G731">
        <v>3</v>
      </c>
      <c r="H731">
        <v>300</v>
      </c>
      <c r="I731">
        <v>900</v>
      </c>
    </row>
    <row r="732" spans="1:9" x14ac:dyDescent="0.3">
      <c r="A732">
        <v>334</v>
      </c>
      <c r="B732" s="1">
        <v>45231</v>
      </c>
      <c r="C732" t="s">
        <v>347</v>
      </c>
      <c r="D732" t="s">
        <v>10</v>
      </c>
      <c r="E732">
        <v>31</v>
      </c>
      <c r="F732" t="s">
        <v>16</v>
      </c>
      <c r="G732">
        <v>3</v>
      </c>
      <c r="H732">
        <v>300</v>
      </c>
      <c r="I732">
        <v>900</v>
      </c>
    </row>
    <row r="733" spans="1:9" x14ac:dyDescent="0.3">
      <c r="A733">
        <v>509</v>
      </c>
      <c r="B733" s="1">
        <v>45103</v>
      </c>
      <c r="C733" t="s">
        <v>522</v>
      </c>
      <c r="D733" t="s">
        <v>13</v>
      </c>
      <c r="E733">
        <v>37</v>
      </c>
      <c r="F733" t="s">
        <v>16</v>
      </c>
      <c r="G733">
        <v>3</v>
      </c>
      <c r="H733">
        <v>300</v>
      </c>
      <c r="I733">
        <v>900</v>
      </c>
    </row>
    <row r="734" spans="1:9" x14ac:dyDescent="0.3">
      <c r="A734">
        <v>886</v>
      </c>
      <c r="B734" s="1">
        <v>45025</v>
      </c>
      <c r="C734" t="s">
        <v>899</v>
      </c>
      <c r="D734" t="s">
        <v>10</v>
      </c>
      <c r="E734">
        <v>37</v>
      </c>
      <c r="F734" t="s">
        <v>16</v>
      </c>
      <c r="G734">
        <v>3</v>
      </c>
      <c r="H734">
        <v>300</v>
      </c>
      <c r="I734">
        <v>900</v>
      </c>
    </row>
    <row r="735" spans="1:9" x14ac:dyDescent="0.3">
      <c r="A735">
        <v>766</v>
      </c>
      <c r="B735" s="1">
        <v>44982</v>
      </c>
      <c r="C735" t="s">
        <v>779</v>
      </c>
      <c r="D735" t="s">
        <v>10</v>
      </c>
      <c r="E735">
        <v>38</v>
      </c>
      <c r="F735" t="s">
        <v>16</v>
      </c>
      <c r="G735">
        <v>3</v>
      </c>
      <c r="H735">
        <v>300</v>
      </c>
      <c r="I735">
        <v>900</v>
      </c>
    </row>
    <row r="736" spans="1:9" x14ac:dyDescent="0.3">
      <c r="A736">
        <v>891</v>
      </c>
      <c r="B736" s="1">
        <v>45021</v>
      </c>
      <c r="C736" t="s">
        <v>904</v>
      </c>
      <c r="D736" t="s">
        <v>10</v>
      </c>
      <c r="E736">
        <v>41</v>
      </c>
      <c r="F736" t="s">
        <v>16</v>
      </c>
      <c r="G736">
        <v>3</v>
      </c>
      <c r="H736">
        <v>300</v>
      </c>
      <c r="I736">
        <v>900</v>
      </c>
    </row>
    <row r="737" spans="1:9" x14ac:dyDescent="0.3">
      <c r="A737">
        <v>911</v>
      </c>
      <c r="B737" s="1">
        <v>45067</v>
      </c>
      <c r="C737" t="s">
        <v>924</v>
      </c>
      <c r="D737" t="s">
        <v>10</v>
      </c>
      <c r="E737">
        <v>42</v>
      </c>
      <c r="F737" t="s">
        <v>16</v>
      </c>
      <c r="G737">
        <v>3</v>
      </c>
      <c r="H737">
        <v>300</v>
      </c>
      <c r="I737">
        <v>900</v>
      </c>
    </row>
    <row r="738" spans="1:9" x14ac:dyDescent="0.3">
      <c r="A738">
        <v>417</v>
      </c>
      <c r="B738" s="1">
        <v>45251</v>
      </c>
      <c r="C738" t="s">
        <v>430</v>
      </c>
      <c r="D738" t="s">
        <v>10</v>
      </c>
      <c r="E738">
        <v>43</v>
      </c>
      <c r="F738" t="s">
        <v>16</v>
      </c>
      <c r="G738">
        <v>3</v>
      </c>
      <c r="H738">
        <v>300</v>
      </c>
      <c r="I738">
        <v>900</v>
      </c>
    </row>
    <row r="739" spans="1:9" x14ac:dyDescent="0.3">
      <c r="A739">
        <v>430</v>
      </c>
      <c r="B739" s="1">
        <v>45145</v>
      </c>
      <c r="C739" t="s">
        <v>443</v>
      </c>
      <c r="D739" t="s">
        <v>13</v>
      </c>
      <c r="E739">
        <v>43</v>
      </c>
      <c r="F739" t="s">
        <v>16</v>
      </c>
      <c r="G739">
        <v>3</v>
      </c>
      <c r="H739">
        <v>300</v>
      </c>
      <c r="I739">
        <v>900</v>
      </c>
    </row>
    <row r="740" spans="1:9" x14ac:dyDescent="0.3">
      <c r="A740">
        <v>551</v>
      </c>
      <c r="B740" s="1">
        <v>45121</v>
      </c>
      <c r="C740" t="s">
        <v>564</v>
      </c>
      <c r="D740" t="s">
        <v>10</v>
      </c>
      <c r="E740">
        <v>45</v>
      </c>
      <c r="F740" t="s">
        <v>16</v>
      </c>
      <c r="G740">
        <v>3</v>
      </c>
      <c r="H740">
        <v>300</v>
      </c>
      <c r="I740">
        <v>900</v>
      </c>
    </row>
    <row r="741" spans="1:9" x14ac:dyDescent="0.3">
      <c r="A741">
        <v>407</v>
      </c>
      <c r="B741" s="1">
        <v>45102</v>
      </c>
      <c r="C741" t="s">
        <v>420</v>
      </c>
      <c r="D741" t="s">
        <v>13</v>
      </c>
      <c r="E741">
        <v>46</v>
      </c>
      <c r="F741" t="s">
        <v>16</v>
      </c>
      <c r="G741">
        <v>3</v>
      </c>
      <c r="H741">
        <v>300</v>
      </c>
      <c r="I741">
        <v>900</v>
      </c>
    </row>
    <row r="742" spans="1:9" x14ac:dyDescent="0.3">
      <c r="A742">
        <v>540</v>
      </c>
      <c r="B742" s="1">
        <v>45268</v>
      </c>
      <c r="C742" t="s">
        <v>553</v>
      </c>
      <c r="D742" t="s">
        <v>13</v>
      </c>
      <c r="E742">
        <v>46</v>
      </c>
      <c r="F742" t="s">
        <v>16</v>
      </c>
      <c r="G742">
        <v>3</v>
      </c>
      <c r="H742">
        <v>300</v>
      </c>
      <c r="I742">
        <v>900</v>
      </c>
    </row>
    <row r="743" spans="1:9" x14ac:dyDescent="0.3">
      <c r="A743">
        <v>243</v>
      </c>
      <c r="B743" s="1">
        <v>45069</v>
      </c>
      <c r="C743" t="s">
        <v>256</v>
      </c>
      <c r="D743" t="s">
        <v>13</v>
      </c>
      <c r="E743">
        <v>47</v>
      </c>
      <c r="F743" t="s">
        <v>16</v>
      </c>
      <c r="G743">
        <v>3</v>
      </c>
      <c r="H743">
        <v>300</v>
      </c>
      <c r="I743">
        <v>900</v>
      </c>
    </row>
    <row r="744" spans="1:9" x14ac:dyDescent="0.3">
      <c r="A744">
        <v>954</v>
      </c>
      <c r="B744" s="1">
        <v>45194</v>
      </c>
      <c r="C744" t="s">
        <v>967</v>
      </c>
      <c r="D744" t="s">
        <v>13</v>
      </c>
      <c r="E744">
        <v>50</v>
      </c>
      <c r="F744" t="s">
        <v>16</v>
      </c>
      <c r="G744">
        <v>3</v>
      </c>
      <c r="H744">
        <v>300</v>
      </c>
      <c r="I744">
        <v>900</v>
      </c>
    </row>
    <row r="745" spans="1:9" x14ac:dyDescent="0.3">
      <c r="A745">
        <v>154</v>
      </c>
      <c r="B745" s="1">
        <v>45201</v>
      </c>
      <c r="C745" t="s">
        <v>167</v>
      </c>
      <c r="D745" t="s">
        <v>10</v>
      </c>
      <c r="E745">
        <v>51</v>
      </c>
      <c r="F745" t="s">
        <v>16</v>
      </c>
      <c r="G745">
        <v>3</v>
      </c>
      <c r="H745">
        <v>300</v>
      </c>
      <c r="I745">
        <v>900</v>
      </c>
    </row>
    <row r="746" spans="1:9" x14ac:dyDescent="0.3">
      <c r="A746">
        <v>488</v>
      </c>
      <c r="B746" s="1">
        <v>45095</v>
      </c>
      <c r="C746" t="s">
        <v>501</v>
      </c>
      <c r="D746" t="s">
        <v>13</v>
      </c>
      <c r="E746">
        <v>51</v>
      </c>
      <c r="F746" t="s">
        <v>16</v>
      </c>
      <c r="G746">
        <v>3</v>
      </c>
      <c r="H746">
        <v>300</v>
      </c>
      <c r="I746">
        <v>900</v>
      </c>
    </row>
    <row r="747" spans="1:9" x14ac:dyDescent="0.3">
      <c r="A747">
        <v>48</v>
      </c>
      <c r="B747" s="1">
        <v>45062</v>
      </c>
      <c r="C747" t="s">
        <v>61</v>
      </c>
      <c r="D747" t="s">
        <v>10</v>
      </c>
      <c r="E747">
        <v>54</v>
      </c>
      <c r="F747" t="s">
        <v>16</v>
      </c>
      <c r="G747">
        <v>3</v>
      </c>
      <c r="H747">
        <v>300</v>
      </c>
      <c r="I747">
        <v>900</v>
      </c>
    </row>
    <row r="748" spans="1:9" x14ac:dyDescent="0.3">
      <c r="A748">
        <v>491</v>
      </c>
      <c r="B748" s="1">
        <v>45069</v>
      </c>
      <c r="C748" t="s">
        <v>504</v>
      </c>
      <c r="D748" t="s">
        <v>13</v>
      </c>
      <c r="E748">
        <v>60</v>
      </c>
      <c r="F748" t="s">
        <v>16</v>
      </c>
      <c r="G748">
        <v>3</v>
      </c>
      <c r="H748">
        <v>300</v>
      </c>
      <c r="I748">
        <v>900</v>
      </c>
    </row>
    <row r="749" spans="1:9" x14ac:dyDescent="0.3">
      <c r="A749">
        <v>678</v>
      </c>
      <c r="B749" s="1">
        <v>45283</v>
      </c>
      <c r="C749" t="s">
        <v>691</v>
      </c>
      <c r="D749" t="s">
        <v>13</v>
      </c>
      <c r="E749">
        <v>60</v>
      </c>
      <c r="F749" t="s">
        <v>16</v>
      </c>
      <c r="G749">
        <v>3</v>
      </c>
      <c r="H749">
        <v>300</v>
      </c>
      <c r="I749">
        <v>900</v>
      </c>
    </row>
    <row r="750" spans="1:9" x14ac:dyDescent="0.3">
      <c r="A750">
        <v>635</v>
      </c>
      <c r="B750" s="1">
        <v>45155</v>
      </c>
      <c r="C750" t="s">
        <v>648</v>
      </c>
      <c r="D750" t="s">
        <v>13</v>
      </c>
      <c r="E750">
        <v>63</v>
      </c>
      <c r="F750" t="s">
        <v>16</v>
      </c>
      <c r="G750">
        <v>3</v>
      </c>
      <c r="H750">
        <v>300</v>
      </c>
      <c r="I750">
        <v>900</v>
      </c>
    </row>
    <row r="751" spans="1:9" x14ac:dyDescent="0.3">
      <c r="A751">
        <v>594</v>
      </c>
      <c r="B751" s="1">
        <v>45170</v>
      </c>
      <c r="C751" t="s">
        <v>607</v>
      </c>
      <c r="D751" t="s">
        <v>13</v>
      </c>
      <c r="E751">
        <v>19</v>
      </c>
      <c r="F751" t="s">
        <v>16</v>
      </c>
      <c r="G751">
        <v>2</v>
      </c>
      <c r="H751">
        <v>300</v>
      </c>
      <c r="I751">
        <v>600</v>
      </c>
    </row>
    <row r="752" spans="1:9" x14ac:dyDescent="0.3">
      <c r="A752">
        <v>348</v>
      </c>
      <c r="B752" s="1">
        <v>45263</v>
      </c>
      <c r="C752" t="s">
        <v>361</v>
      </c>
      <c r="D752" t="s">
        <v>13</v>
      </c>
      <c r="E752">
        <v>35</v>
      </c>
      <c r="F752" t="s">
        <v>16</v>
      </c>
      <c r="G752">
        <v>2</v>
      </c>
      <c r="H752">
        <v>300</v>
      </c>
      <c r="I752">
        <v>600</v>
      </c>
    </row>
    <row r="753" spans="1:9" x14ac:dyDescent="0.3">
      <c r="A753">
        <v>464</v>
      </c>
      <c r="B753" s="1">
        <v>44939</v>
      </c>
      <c r="C753" t="s">
        <v>477</v>
      </c>
      <c r="D753" t="s">
        <v>10</v>
      </c>
      <c r="E753">
        <v>38</v>
      </c>
      <c r="F753" t="s">
        <v>16</v>
      </c>
      <c r="G753">
        <v>2</v>
      </c>
      <c r="H753">
        <v>300</v>
      </c>
      <c r="I753">
        <v>600</v>
      </c>
    </row>
    <row r="754" spans="1:9" x14ac:dyDescent="0.3">
      <c r="A754">
        <v>136</v>
      </c>
      <c r="B754" s="1">
        <v>45005</v>
      </c>
      <c r="C754" t="s">
        <v>149</v>
      </c>
      <c r="D754" t="s">
        <v>10</v>
      </c>
      <c r="E754">
        <v>44</v>
      </c>
      <c r="F754" t="s">
        <v>16</v>
      </c>
      <c r="G754">
        <v>2</v>
      </c>
      <c r="H754">
        <v>300</v>
      </c>
      <c r="I754">
        <v>600</v>
      </c>
    </row>
    <row r="755" spans="1:9" x14ac:dyDescent="0.3">
      <c r="A755">
        <v>158</v>
      </c>
      <c r="B755" s="1">
        <v>44984</v>
      </c>
      <c r="C755" t="s">
        <v>171</v>
      </c>
      <c r="D755" t="s">
        <v>13</v>
      </c>
      <c r="E755">
        <v>44</v>
      </c>
      <c r="F755" t="s">
        <v>16</v>
      </c>
      <c r="G755">
        <v>2</v>
      </c>
      <c r="H755">
        <v>300</v>
      </c>
      <c r="I755">
        <v>600</v>
      </c>
    </row>
    <row r="756" spans="1:9" x14ac:dyDescent="0.3">
      <c r="A756">
        <v>838</v>
      </c>
      <c r="B756" s="1">
        <v>45059</v>
      </c>
      <c r="C756" t="s">
        <v>851</v>
      </c>
      <c r="D756" t="s">
        <v>10</v>
      </c>
      <c r="E756">
        <v>47</v>
      </c>
      <c r="F756" t="s">
        <v>16</v>
      </c>
      <c r="G756">
        <v>2</v>
      </c>
      <c r="H756">
        <v>300</v>
      </c>
      <c r="I756">
        <v>600</v>
      </c>
    </row>
    <row r="757" spans="1:9" x14ac:dyDescent="0.3">
      <c r="A757">
        <v>386</v>
      </c>
      <c r="B757" s="1">
        <v>45287</v>
      </c>
      <c r="C757" t="s">
        <v>399</v>
      </c>
      <c r="D757" t="s">
        <v>13</v>
      </c>
      <c r="E757">
        <v>54</v>
      </c>
      <c r="F757" t="s">
        <v>16</v>
      </c>
      <c r="G757">
        <v>2</v>
      </c>
      <c r="H757">
        <v>300</v>
      </c>
      <c r="I757">
        <v>600</v>
      </c>
    </row>
    <row r="758" spans="1:9" x14ac:dyDescent="0.3">
      <c r="A758">
        <v>380</v>
      </c>
      <c r="B758" s="1">
        <v>45052</v>
      </c>
      <c r="C758" t="s">
        <v>393</v>
      </c>
      <c r="D758" t="s">
        <v>10</v>
      </c>
      <c r="E758">
        <v>56</v>
      </c>
      <c r="F758" t="s">
        <v>16</v>
      </c>
      <c r="G758">
        <v>2</v>
      </c>
      <c r="H758">
        <v>300</v>
      </c>
      <c r="I758">
        <v>600</v>
      </c>
    </row>
    <row r="759" spans="1:9" x14ac:dyDescent="0.3">
      <c r="A759">
        <v>9</v>
      </c>
      <c r="B759" s="1">
        <v>45273</v>
      </c>
      <c r="C759" t="s">
        <v>22</v>
      </c>
      <c r="D759" t="s">
        <v>10</v>
      </c>
      <c r="E759">
        <v>63</v>
      </c>
      <c r="F759" t="s">
        <v>16</v>
      </c>
      <c r="G759">
        <v>2</v>
      </c>
      <c r="H759">
        <v>300</v>
      </c>
      <c r="I759">
        <v>600</v>
      </c>
    </row>
    <row r="760" spans="1:9" x14ac:dyDescent="0.3">
      <c r="A760">
        <v>283</v>
      </c>
      <c r="B760" s="1">
        <v>45054</v>
      </c>
      <c r="C760" t="s">
        <v>296</v>
      </c>
      <c r="D760" t="s">
        <v>13</v>
      </c>
      <c r="E760">
        <v>18</v>
      </c>
      <c r="F760" t="s">
        <v>16</v>
      </c>
      <c r="G760">
        <v>1</v>
      </c>
      <c r="H760">
        <v>500</v>
      </c>
      <c r="I760">
        <v>500</v>
      </c>
    </row>
    <row r="761" spans="1:9" x14ac:dyDescent="0.3">
      <c r="A761">
        <v>867</v>
      </c>
      <c r="B761" s="1">
        <v>45083</v>
      </c>
      <c r="C761" t="s">
        <v>880</v>
      </c>
      <c r="D761" t="s">
        <v>10</v>
      </c>
      <c r="E761">
        <v>21</v>
      </c>
      <c r="F761" t="s">
        <v>16</v>
      </c>
      <c r="G761">
        <v>1</v>
      </c>
      <c r="H761">
        <v>500</v>
      </c>
      <c r="I761">
        <v>500</v>
      </c>
    </row>
    <row r="762" spans="1:9" x14ac:dyDescent="0.3">
      <c r="A762">
        <v>105</v>
      </c>
      <c r="B762" s="1">
        <v>45132</v>
      </c>
      <c r="C762" t="s">
        <v>118</v>
      </c>
      <c r="D762" t="s">
        <v>13</v>
      </c>
      <c r="E762">
        <v>22</v>
      </c>
      <c r="F762" t="s">
        <v>16</v>
      </c>
      <c r="G762">
        <v>1</v>
      </c>
      <c r="H762">
        <v>500</v>
      </c>
      <c r="I762">
        <v>500</v>
      </c>
    </row>
    <row r="763" spans="1:9" x14ac:dyDescent="0.3">
      <c r="A763">
        <v>667</v>
      </c>
      <c r="B763" s="1">
        <v>45139</v>
      </c>
      <c r="C763" t="s">
        <v>680</v>
      </c>
      <c r="D763" t="s">
        <v>13</v>
      </c>
      <c r="E763">
        <v>29</v>
      </c>
      <c r="F763" t="s">
        <v>16</v>
      </c>
      <c r="G763">
        <v>1</v>
      </c>
      <c r="H763">
        <v>500</v>
      </c>
      <c r="I763">
        <v>500</v>
      </c>
    </row>
    <row r="764" spans="1:9" x14ac:dyDescent="0.3">
      <c r="A764">
        <v>818</v>
      </c>
      <c r="B764" s="1">
        <v>45064</v>
      </c>
      <c r="C764" t="s">
        <v>831</v>
      </c>
      <c r="D764" t="s">
        <v>10</v>
      </c>
      <c r="E764">
        <v>30</v>
      </c>
      <c r="F764" t="s">
        <v>16</v>
      </c>
      <c r="G764">
        <v>1</v>
      </c>
      <c r="H764">
        <v>500</v>
      </c>
      <c r="I764">
        <v>500</v>
      </c>
    </row>
    <row r="765" spans="1:9" x14ac:dyDescent="0.3">
      <c r="A765">
        <v>353</v>
      </c>
      <c r="B765" s="1">
        <v>45060</v>
      </c>
      <c r="C765" t="s">
        <v>366</v>
      </c>
      <c r="D765" t="s">
        <v>10</v>
      </c>
      <c r="E765">
        <v>31</v>
      </c>
      <c r="F765" t="s">
        <v>16</v>
      </c>
      <c r="G765">
        <v>1</v>
      </c>
      <c r="H765">
        <v>500</v>
      </c>
      <c r="I765">
        <v>500</v>
      </c>
    </row>
    <row r="766" spans="1:9" x14ac:dyDescent="0.3">
      <c r="A766">
        <v>531</v>
      </c>
      <c r="B766" s="1">
        <v>45267</v>
      </c>
      <c r="C766" t="s">
        <v>544</v>
      </c>
      <c r="D766" t="s">
        <v>10</v>
      </c>
      <c r="E766">
        <v>31</v>
      </c>
      <c r="F766" t="s">
        <v>16</v>
      </c>
      <c r="G766">
        <v>1</v>
      </c>
      <c r="H766">
        <v>500</v>
      </c>
      <c r="I766">
        <v>500</v>
      </c>
    </row>
    <row r="767" spans="1:9" x14ac:dyDescent="0.3">
      <c r="A767">
        <v>784</v>
      </c>
      <c r="B767" s="1">
        <v>45234</v>
      </c>
      <c r="C767" t="s">
        <v>797</v>
      </c>
      <c r="D767" t="s">
        <v>13</v>
      </c>
      <c r="E767">
        <v>34</v>
      </c>
      <c r="F767" t="s">
        <v>16</v>
      </c>
      <c r="G767">
        <v>1</v>
      </c>
      <c r="H767">
        <v>500</v>
      </c>
      <c r="I767">
        <v>500</v>
      </c>
    </row>
    <row r="768" spans="1:9" x14ac:dyDescent="0.3">
      <c r="A768">
        <v>883</v>
      </c>
      <c r="B768" s="1">
        <v>45055</v>
      </c>
      <c r="C768" t="s">
        <v>896</v>
      </c>
      <c r="D768" t="s">
        <v>10</v>
      </c>
      <c r="E768">
        <v>40</v>
      </c>
      <c r="F768" t="s">
        <v>16</v>
      </c>
      <c r="G768">
        <v>1</v>
      </c>
      <c r="H768">
        <v>500</v>
      </c>
      <c r="I768">
        <v>500</v>
      </c>
    </row>
    <row r="769" spans="1:9" x14ac:dyDescent="0.3">
      <c r="A769">
        <v>254</v>
      </c>
      <c r="B769" s="1">
        <v>45135</v>
      </c>
      <c r="C769" t="s">
        <v>267</v>
      </c>
      <c r="D769" t="s">
        <v>10</v>
      </c>
      <c r="E769">
        <v>41</v>
      </c>
      <c r="F769" t="s">
        <v>16</v>
      </c>
      <c r="G769">
        <v>1</v>
      </c>
      <c r="H769">
        <v>500</v>
      </c>
      <c r="I769">
        <v>500</v>
      </c>
    </row>
    <row r="770" spans="1:9" x14ac:dyDescent="0.3">
      <c r="A770">
        <v>638</v>
      </c>
      <c r="B770" s="1">
        <v>45157</v>
      </c>
      <c r="C770" t="s">
        <v>651</v>
      </c>
      <c r="D770" t="s">
        <v>10</v>
      </c>
      <c r="E770">
        <v>46</v>
      </c>
      <c r="F770" t="s">
        <v>16</v>
      </c>
      <c r="G770">
        <v>1</v>
      </c>
      <c r="H770">
        <v>500</v>
      </c>
      <c r="I770">
        <v>500</v>
      </c>
    </row>
    <row r="771" spans="1:9" x14ac:dyDescent="0.3">
      <c r="A771">
        <v>322</v>
      </c>
      <c r="B771" s="1">
        <v>44956</v>
      </c>
      <c r="C771" t="s">
        <v>335</v>
      </c>
      <c r="D771" t="s">
        <v>10</v>
      </c>
      <c r="E771">
        <v>51</v>
      </c>
      <c r="F771" t="s">
        <v>16</v>
      </c>
      <c r="G771">
        <v>1</v>
      </c>
      <c r="H771">
        <v>500</v>
      </c>
      <c r="I771">
        <v>500</v>
      </c>
    </row>
    <row r="772" spans="1:9" x14ac:dyDescent="0.3">
      <c r="A772">
        <v>864</v>
      </c>
      <c r="B772" s="1">
        <v>45134</v>
      </c>
      <c r="C772" t="s">
        <v>877</v>
      </c>
      <c r="D772" t="s">
        <v>13</v>
      </c>
      <c r="E772">
        <v>51</v>
      </c>
      <c r="F772" t="s">
        <v>16</v>
      </c>
      <c r="G772">
        <v>1</v>
      </c>
      <c r="H772">
        <v>500</v>
      </c>
      <c r="I772">
        <v>500</v>
      </c>
    </row>
    <row r="773" spans="1:9" x14ac:dyDescent="0.3">
      <c r="A773">
        <v>91</v>
      </c>
      <c r="B773" s="1">
        <v>45010</v>
      </c>
      <c r="C773" t="s">
        <v>104</v>
      </c>
      <c r="D773" t="s">
        <v>13</v>
      </c>
      <c r="E773">
        <v>55</v>
      </c>
      <c r="F773" t="s">
        <v>16</v>
      </c>
      <c r="G773">
        <v>1</v>
      </c>
      <c r="H773">
        <v>500</v>
      </c>
      <c r="I773">
        <v>500</v>
      </c>
    </row>
    <row r="774" spans="1:9" x14ac:dyDescent="0.3">
      <c r="A774">
        <v>355</v>
      </c>
      <c r="B774" s="1">
        <v>45269</v>
      </c>
      <c r="C774" t="s">
        <v>368</v>
      </c>
      <c r="D774" t="s">
        <v>13</v>
      </c>
      <c r="E774">
        <v>55</v>
      </c>
      <c r="F774" t="s">
        <v>16</v>
      </c>
      <c r="G774">
        <v>1</v>
      </c>
      <c r="H774">
        <v>500</v>
      </c>
      <c r="I774">
        <v>500</v>
      </c>
    </row>
    <row r="775" spans="1:9" x14ac:dyDescent="0.3">
      <c r="A775">
        <v>914</v>
      </c>
      <c r="B775" s="1">
        <v>45210</v>
      </c>
      <c r="C775" t="s">
        <v>927</v>
      </c>
      <c r="D775" t="s">
        <v>13</v>
      </c>
      <c r="E775">
        <v>59</v>
      </c>
      <c r="F775" t="s">
        <v>16</v>
      </c>
      <c r="G775">
        <v>1</v>
      </c>
      <c r="H775">
        <v>500</v>
      </c>
      <c r="I775">
        <v>500</v>
      </c>
    </row>
    <row r="776" spans="1:9" x14ac:dyDescent="0.3">
      <c r="A776">
        <v>612</v>
      </c>
      <c r="B776" s="1">
        <v>45144</v>
      </c>
      <c r="C776" t="s">
        <v>625</v>
      </c>
      <c r="D776" t="s">
        <v>13</v>
      </c>
      <c r="E776">
        <v>61</v>
      </c>
      <c r="F776" t="s">
        <v>16</v>
      </c>
      <c r="G776">
        <v>1</v>
      </c>
      <c r="H776">
        <v>500</v>
      </c>
      <c r="I776">
        <v>500</v>
      </c>
    </row>
    <row r="777" spans="1:9" x14ac:dyDescent="0.3">
      <c r="A777">
        <v>514</v>
      </c>
      <c r="B777" s="1">
        <v>44986</v>
      </c>
      <c r="C777" t="s">
        <v>527</v>
      </c>
      <c r="D777" t="s">
        <v>13</v>
      </c>
      <c r="E777">
        <v>18</v>
      </c>
      <c r="F777" t="s">
        <v>16</v>
      </c>
      <c r="G777">
        <v>1</v>
      </c>
      <c r="H777">
        <v>300</v>
      </c>
      <c r="I777">
        <v>300</v>
      </c>
    </row>
    <row r="778" spans="1:9" x14ac:dyDescent="0.3">
      <c r="A778">
        <v>602</v>
      </c>
      <c r="B778" s="1">
        <v>45283</v>
      </c>
      <c r="C778" t="s">
        <v>615</v>
      </c>
      <c r="D778" t="s">
        <v>13</v>
      </c>
      <c r="E778">
        <v>20</v>
      </c>
      <c r="F778" t="s">
        <v>16</v>
      </c>
      <c r="G778">
        <v>1</v>
      </c>
      <c r="H778">
        <v>300</v>
      </c>
      <c r="I778">
        <v>300</v>
      </c>
    </row>
    <row r="779" spans="1:9" x14ac:dyDescent="0.3">
      <c r="A779">
        <v>881</v>
      </c>
      <c r="B779" s="1">
        <v>45065</v>
      </c>
      <c r="C779" t="s">
        <v>894</v>
      </c>
      <c r="D779" t="s">
        <v>10</v>
      </c>
      <c r="E779">
        <v>22</v>
      </c>
      <c r="F779" t="s">
        <v>16</v>
      </c>
      <c r="G779">
        <v>1</v>
      </c>
      <c r="H779">
        <v>300</v>
      </c>
      <c r="I779">
        <v>300</v>
      </c>
    </row>
    <row r="780" spans="1:9" x14ac:dyDescent="0.3">
      <c r="A780">
        <v>147</v>
      </c>
      <c r="B780" s="1">
        <v>45197</v>
      </c>
      <c r="C780" t="s">
        <v>160</v>
      </c>
      <c r="D780" t="s">
        <v>10</v>
      </c>
      <c r="E780">
        <v>23</v>
      </c>
      <c r="F780" t="s">
        <v>16</v>
      </c>
      <c r="G780">
        <v>1</v>
      </c>
      <c r="H780">
        <v>300</v>
      </c>
      <c r="I780">
        <v>300</v>
      </c>
    </row>
    <row r="781" spans="1:9" x14ac:dyDescent="0.3">
      <c r="A781">
        <v>68</v>
      </c>
      <c r="B781" s="1">
        <v>44967</v>
      </c>
      <c r="C781" t="s">
        <v>81</v>
      </c>
      <c r="D781" t="s">
        <v>10</v>
      </c>
      <c r="E781">
        <v>25</v>
      </c>
      <c r="F781" t="s">
        <v>16</v>
      </c>
      <c r="G781">
        <v>1</v>
      </c>
      <c r="H781">
        <v>300</v>
      </c>
      <c r="I781">
        <v>300</v>
      </c>
    </row>
    <row r="782" spans="1:9" x14ac:dyDescent="0.3">
      <c r="A782">
        <v>868</v>
      </c>
      <c r="B782" s="1">
        <v>45266</v>
      </c>
      <c r="C782" t="s">
        <v>881</v>
      </c>
      <c r="D782" t="s">
        <v>13</v>
      </c>
      <c r="E782">
        <v>25</v>
      </c>
      <c r="F782" t="s">
        <v>16</v>
      </c>
      <c r="G782">
        <v>1</v>
      </c>
      <c r="H782">
        <v>300</v>
      </c>
      <c r="I782">
        <v>300</v>
      </c>
    </row>
    <row r="783" spans="1:9" x14ac:dyDescent="0.3">
      <c r="A783">
        <v>925</v>
      </c>
      <c r="B783" s="1">
        <v>45172</v>
      </c>
      <c r="C783" t="s">
        <v>938</v>
      </c>
      <c r="D783" t="s">
        <v>10</v>
      </c>
      <c r="E783">
        <v>25</v>
      </c>
      <c r="F783" t="s">
        <v>16</v>
      </c>
      <c r="G783">
        <v>1</v>
      </c>
      <c r="H783">
        <v>300</v>
      </c>
      <c r="I783">
        <v>300</v>
      </c>
    </row>
    <row r="784" spans="1:9" x14ac:dyDescent="0.3">
      <c r="A784">
        <v>909</v>
      </c>
      <c r="B784" s="1">
        <v>45200</v>
      </c>
      <c r="C784" t="s">
        <v>922</v>
      </c>
      <c r="D784" t="s">
        <v>10</v>
      </c>
      <c r="E784">
        <v>26</v>
      </c>
      <c r="F784" t="s">
        <v>16</v>
      </c>
      <c r="G784">
        <v>1</v>
      </c>
      <c r="H784">
        <v>300</v>
      </c>
      <c r="I784">
        <v>300</v>
      </c>
    </row>
    <row r="785" spans="1:9" x14ac:dyDescent="0.3">
      <c r="A785">
        <v>179</v>
      </c>
      <c r="B785" s="1">
        <v>45198</v>
      </c>
      <c r="C785" t="s">
        <v>192</v>
      </c>
      <c r="D785" t="s">
        <v>10</v>
      </c>
      <c r="E785">
        <v>31</v>
      </c>
      <c r="F785" t="s">
        <v>16</v>
      </c>
      <c r="G785">
        <v>1</v>
      </c>
      <c r="H785">
        <v>300</v>
      </c>
      <c r="I785">
        <v>300</v>
      </c>
    </row>
    <row r="786" spans="1:9" x14ac:dyDescent="0.3">
      <c r="A786">
        <v>641</v>
      </c>
      <c r="B786" s="1">
        <v>45253</v>
      </c>
      <c r="C786" t="s">
        <v>654</v>
      </c>
      <c r="D786" t="s">
        <v>13</v>
      </c>
      <c r="E786">
        <v>40</v>
      </c>
      <c r="F786" t="s">
        <v>16</v>
      </c>
      <c r="G786">
        <v>1</v>
      </c>
      <c r="H786">
        <v>300</v>
      </c>
      <c r="I786">
        <v>300</v>
      </c>
    </row>
    <row r="787" spans="1:9" x14ac:dyDescent="0.3">
      <c r="A787">
        <v>270</v>
      </c>
      <c r="B787" s="1">
        <v>45133</v>
      </c>
      <c r="C787" t="s">
        <v>283</v>
      </c>
      <c r="D787" t="s">
        <v>10</v>
      </c>
      <c r="E787">
        <v>43</v>
      </c>
      <c r="F787" t="s">
        <v>16</v>
      </c>
      <c r="G787">
        <v>1</v>
      </c>
      <c r="H787">
        <v>300</v>
      </c>
      <c r="I787">
        <v>300</v>
      </c>
    </row>
    <row r="788" spans="1:9" x14ac:dyDescent="0.3">
      <c r="A788">
        <v>939</v>
      </c>
      <c r="B788" s="1">
        <v>45278</v>
      </c>
      <c r="C788" t="s">
        <v>952</v>
      </c>
      <c r="D788" t="s">
        <v>13</v>
      </c>
      <c r="E788">
        <v>46</v>
      </c>
      <c r="F788" t="s">
        <v>16</v>
      </c>
      <c r="G788">
        <v>1</v>
      </c>
      <c r="H788">
        <v>300</v>
      </c>
      <c r="I788">
        <v>300</v>
      </c>
    </row>
    <row r="789" spans="1:9" x14ac:dyDescent="0.3">
      <c r="A789">
        <v>821</v>
      </c>
      <c r="B789" s="1">
        <v>44971</v>
      </c>
      <c r="C789" t="s">
        <v>834</v>
      </c>
      <c r="D789" t="s">
        <v>10</v>
      </c>
      <c r="E789">
        <v>49</v>
      </c>
      <c r="F789" t="s">
        <v>16</v>
      </c>
      <c r="G789">
        <v>1</v>
      </c>
      <c r="H789">
        <v>300</v>
      </c>
      <c r="I789">
        <v>300</v>
      </c>
    </row>
    <row r="790" spans="1:9" x14ac:dyDescent="0.3">
      <c r="A790">
        <v>568</v>
      </c>
      <c r="B790" s="1">
        <v>45165</v>
      </c>
      <c r="C790" t="s">
        <v>581</v>
      </c>
      <c r="D790" t="s">
        <v>13</v>
      </c>
      <c r="E790">
        <v>51</v>
      </c>
      <c r="F790" t="s">
        <v>16</v>
      </c>
      <c r="G790">
        <v>1</v>
      </c>
      <c r="H790">
        <v>300</v>
      </c>
      <c r="I790">
        <v>300</v>
      </c>
    </row>
    <row r="791" spans="1:9" x14ac:dyDescent="0.3">
      <c r="A791">
        <v>445</v>
      </c>
      <c r="B791" s="1">
        <v>44948</v>
      </c>
      <c r="C791" t="s">
        <v>458</v>
      </c>
      <c r="D791" t="s">
        <v>13</v>
      </c>
      <c r="E791">
        <v>53</v>
      </c>
      <c r="F791" t="s">
        <v>16</v>
      </c>
      <c r="G791">
        <v>1</v>
      </c>
      <c r="H791">
        <v>300</v>
      </c>
      <c r="I791">
        <v>300</v>
      </c>
    </row>
    <row r="792" spans="1:9" x14ac:dyDescent="0.3">
      <c r="A792">
        <v>687</v>
      </c>
      <c r="B792" s="1">
        <v>45141</v>
      </c>
      <c r="C792" t="s">
        <v>700</v>
      </c>
      <c r="D792" t="s">
        <v>13</v>
      </c>
      <c r="E792">
        <v>53</v>
      </c>
      <c r="F792" t="s">
        <v>16</v>
      </c>
      <c r="G792">
        <v>1</v>
      </c>
      <c r="H792">
        <v>300</v>
      </c>
      <c r="I792">
        <v>300</v>
      </c>
    </row>
    <row r="793" spans="1:9" x14ac:dyDescent="0.3">
      <c r="A793">
        <v>252</v>
      </c>
      <c r="B793" s="1">
        <v>45051</v>
      </c>
      <c r="C793" t="s">
        <v>265</v>
      </c>
      <c r="D793" t="s">
        <v>10</v>
      </c>
      <c r="E793">
        <v>54</v>
      </c>
      <c r="F793" t="s">
        <v>16</v>
      </c>
      <c r="G793">
        <v>1</v>
      </c>
      <c r="H793">
        <v>300</v>
      </c>
      <c r="I793">
        <v>300</v>
      </c>
    </row>
    <row r="794" spans="1:9" x14ac:dyDescent="0.3">
      <c r="A794">
        <v>795</v>
      </c>
      <c r="B794" s="1">
        <v>45258</v>
      </c>
      <c r="C794" t="s">
        <v>808</v>
      </c>
      <c r="D794" t="s">
        <v>10</v>
      </c>
      <c r="E794">
        <v>57</v>
      </c>
      <c r="F794" t="s">
        <v>16</v>
      </c>
      <c r="G794">
        <v>1</v>
      </c>
      <c r="H794">
        <v>300</v>
      </c>
      <c r="I794">
        <v>300</v>
      </c>
    </row>
    <row r="795" spans="1:9" x14ac:dyDescent="0.3">
      <c r="A795">
        <v>725</v>
      </c>
      <c r="B795" s="1">
        <v>45159</v>
      </c>
      <c r="C795" t="s">
        <v>738</v>
      </c>
      <c r="D795" t="s">
        <v>10</v>
      </c>
      <c r="E795">
        <v>61</v>
      </c>
      <c r="F795" t="s">
        <v>16</v>
      </c>
      <c r="G795">
        <v>1</v>
      </c>
      <c r="H795">
        <v>300</v>
      </c>
      <c r="I795">
        <v>300</v>
      </c>
    </row>
    <row r="796" spans="1:9" x14ac:dyDescent="0.3">
      <c r="A796">
        <v>523</v>
      </c>
      <c r="B796" s="1">
        <v>45193</v>
      </c>
      <c r="C796" t="s">
        <v>536</v>
      </c>
      <c r="D796" t="s">
        <v>13</v>
      </c>
      <c r="E796">
        <v>62</v>
      </c>
      <c r="F796" t="s">
        <v>16</v>
      </c>
      <c r="G796">
        <v>1</v>
      </c>
      <c r="H796">
        <v>300</v>
      </c>
      <c r="I796">
        <v>300</v>
      </c>
    </row>
    <row r="797" spans="1:9" x14ac:dyDescent="0.3">
      <c r="A797">
        <v>596</v>
      </c>
      <c r="B797" s="1">
        <v>44964</v>
      </c>
      <c r="C797" t="s">
        <v>609</v>
      </c>
      <c r="D797" t="s">
        <v>13</v>
      </c>
      <c r="E797">
        <v>64</v>
      </c>
      <c r="F797" t="s">
        <v>16</v>
      </c>
      <c r="G797">
        <v>1</v>
      </c>
      <c r="H797">
        <v>300</v>
      </c>
      <c r="I797">
        <v>300</v>
      </c>
    </row>
    <row r="798" spans="1:9" x14ac:dyDescent="0.3">
      <c r="A798">
        <v>698</v>
      </c>
      <c r="B798" s="1">
        <v>45126</v>
      </c>
      <c r="C798" t="s">
        <v>711</v>
      </c>
      <c r="D798" t="s">
        <v>13</v>
      </c>
      <c r="E798">
        <v>64</v>
      </c>
      <c r="F798" t="s">
        <v>16</v>
      </c>
      <c r="G798">
        <v>1</v>
      </c>
      <c r="H798">
        <v>300</v>
      </c>
      <c r="I798">
        <v>300</v>
      </c>
    </row>
    <row r="799" spans="1:9" x14ac:dyDescent="0.3">
      <c r="A799">
        <v>300</v>
      </c>
      <c r="B799" s="1">
        <v>44957</v>
      </c>
      <c r="C799" t="s">
        <v>313</v>
      </c>
      <c r="D799" t="s">
        <v>13</v>
      </c>
      <c r="E799">
        <v>19</v>
      </c>
      <c r="F799" t="s">
        <v>16</v>
      </c>
      <c r="G799">
        <v>4</v>
      </c>
      <c r="H799">
        <v>50</v>
      </c>
      <c r="I799">
        <v>200</v>
      </c>
    </row>
    <row r="800" spans="1:9" x14ac:dyDescent="0.3">
      <c r="A800">
        <v>449</v>
      </c>
      <c r="B800" s="1">
        <v>45110</v>
      </c>
      <c r="C800" t="s">
        <v>462</v>
      </c>
      <c r="D800" t="s">
        <v>10</v>
      </c>
      <c r="E800">
        <v>25</v>
      </c>
      <c r="F800" t="s">
        <v>16</v>
      </c>
      <c r="G800">
        <v>4</v>
      </c>
      <c r="H800">
        <v>50</v>
      </c>
      <c r="I800">
        <v>200</v>
      </c>
    </row>
    <row r="801" spans="1:9" x14ac:dyDescent="0.3">
      <c r="A801">
        <v>971</v>
      </c>
      <c r="B801" s="1">
        <v>45265</v>
      </c>
      <c r="C801" t="s">
        <v>984</v>
      </c>
      <c r="D801" t="s">
        <v>13</v>
      </c>
      <c r="E801">
        <v>27</v>
      </c>
      <c r="F801" t="s">
        <v>16</v>
      </c>
      <c r="G801">
        <v>4</v>
      </c>
      <c r="H801">
        <v>50</v>
      </c>
      <c r="I801">
        <v>200</v>
      </c>
    </row>
    <row r="802" spans="1:9" x14ac:dyDescent="0.3">
      <c r="A802">
        <v>121</v>
      </c>
      <c r="B802" s="1">
        <v>45214</v>
      </c>
      <c r="C802" t="s">
        <v>134</v>
      </c>
      <c r="D802" t="s">
        <v>13</v>
      </c>
      <c r="E802">
        <v>28</v>
      </c>
      <c r="F802" t="s">
        <v>16</v>
      </c>
      <c r="G802">
        <v>4</v>
      </c>
      <c r="H802">
        <v>50</v>
      </c>
      <c r="I802">
        <v>200</v>
      </c>
    </row>
    <row r="803" spans="1:9" x14ac:dyDescent="0.3">
      <c r="A803">
        <v>686</v>
      </c>
      <c r="B803" s="1">
        <v>45126</v>
      </c>
      <c r="C803" t="s">
        <v>699</v>
      </c>
      <c r="D803" t="s">
        <v>13</v>
      </c>
      <c r="E803">
        <v>28</v>
      </c>
      <c r="F803" t="s">
        <v>16</v>
      </c>
      <c r="G803">
        <v>4</v>
      </c>
      <c r="H803">
        <v>50</v>
      </c>
      <c r="I803">
        <v>200</v>
      </c>
    </row>
    <row r="804" spans="1:9" x14ac:dyDescent="0.3">
      <c r="A804">
        <v>604</v>
      </c>
      <c r="B804" s="1">
        <v>45180</v>
      </c>
      <c r="C804" t="s">
        <v>617</v>
      </c>
      <c r="D804" t="s">
        <v>13</v>
      </c>
      <c r="E804">
        <v>29</v>
      </c>
      <c r="F804" t="s">
        <v>16</v>
      </c>
      <c r="G804">
        <v>4</v>
      </c>
      <c r="H804">
        <v>50</v>
      </c>
      <c r="I804">
        <v>200</v>
      </c>
    </row>
    <row r="805" spans="1:9" x14ac:dyDescent="0.3">
      <c r="A805">
        <v>209</v>
      </c>
      <c r="B805" s="1">
        <v>45280</v>
      </c>
      <c r="C805" t="s">
        <v>222</v>
      </c>
      <c r="D805" t="s">
        <v>13</v>
      </c>
      <c r="E805">
        <v>30</v>
      </c>
      <c r="F805" t="s">
        <v>16</v>
      </c>
      <c r="G805">
        <v>4</v>
      </c>
      <c r="H805">
        <v>50</v>
      </c>
      <c r="I805">
        <v>200</v>
      </c>
    </row>
    <row r="806" spans="1:9" x14ac:dyDescent="0.3">
      <c r="A806">
        <v>184</v>
      </c>
      <c r="B806" s="1">
        <v>44936</v>
      </c>
      <c r="C806" t="s">
        <v>197</v>
      </c>
      <c r="D806" t="s">
        <v>10</v>
      </c>
      <c r="E806">
        <v>31</v>
      </c>
      <c r="F806" t="s">
        <v>16</v>
      </c>
      <c r="G806">
        <v>4</v>
      </c>
      <c r="H806">
        <v>50</v>
      </c>
      <c r="I806">
        <v>200</v>
      </c>
    </row>
    <row r="807" spans="1:9" x14ac:dyDescent="0.3">
      <c r="A807">
        <v>208</v>
      </c>
      <c r="B807" s="1">
        <v>45203</v>
      </c>
      <c r="C807" t="s">
        <v>221</v>
      </c>
      <c r="D807" t="s">
        <v>13</v>
      </c>
      <c r="E807">
        <v>34</v>
      </c>
      <c r="F807" t="s">
        <v>16</v>
      </c>
      <c r="G807">
        <v>4</v>
      </c>
      <c r="H807">
        <v>50</v>
      </c>
      <c r="I807">
        <v>200</v>
      </c>
    </row>
    <row r="808" spans="1:9" x14ac:dyDescent="0.3">
      <c r="A808">
        <v>217</v>
      </c>
      <c r="B808" s="1">
        <v>45151</v>
      </c>
      <c r="C808" t="s">
        <v>230</v>
      </c>
      <c r="D808" t="s">
        <v>13</v>
      </c>
      <c r="E808">
        <v>35</v>
      </c>
      <c r="F808" t="s">
        <v>16</v>
      </c>
      <c r="G808">
        <v>4</v>
      </c>
      <c r="H808">
        <v>50</v>
      </c>
      <c r="I808">
        <v>200</v>
      </c>
    </row>
    <row r="809" spans="1:9" x14ac:dyDescent="0.3">
      <c r="A809">
        <v>546</v>
      </c>
      <c r="B809" s="1">
        <v>45210</v>
      </c>
      <c r="C809" t="s">
        <v>559</v>
      </c>
      <c r="D809" t="s">
        <v>13</v>
      </c>
      <c r="E809">
        <v>36</v>
      </c>
      <c r="F809" t="s">
        <v>16</v>
      </c>
      <c r="G809">
        <v>4</v>
      </c>
      <c r="H809">
        <v>50</v>
      </c>
      <c r="I809">
        <v>200</v>
      </c>
    </row>
    <row r="810" spans="1:9" x14ac:dyDescent="0.3">
      <c r="A810">
        <v>210</v>
      </c>
      <c r="B810" s="1">
        <v>45029</v>
      </c>
      <c r="C810" t="s">
        <v>223</v>
      </c>
      <c r="D810" t="s">
        <v>10</v>
      </c>
      <c r="E810">
        <v>37</v>
      </c>
      <c r="F810" t="s">
        <v>16</v>
      </c>
      <c r="G810">
        <v>4</v>
      </c>
      <c r="H810">
        <v>50</v>
      </c>
      <c r="I810">
        <v>200</v>
      </c>
    </row>
    <row r="811" spans="1:9" x14ac:dyDescent="0.3">
      <c r="A811">
        <v>428</v>
      </c>
      <c r="B811" s="1">
        <v>45209</v>
      </c>
      <c r="C811" t="s">
        <v>441</v>
      </c>
      <c r="D811" t="s">
        <v>13</v>
      </c>
      <c r="E811">
        <v>40</v>
      </c>
      <c r="F811" t="s">
        <v>16</v>
      </c>
      <c r="G811">
        <v>4</v>
      </c>
      <c r="H811">
        <v>50</v>
      </c>
      <c r="I811">
        <v>200</v>
      </c>
    </row>
    <row r="812" spans="1:9" x14ac:dyDescent="0.3">
      <c r="A812">
        <v>132</v>
      </c>
      <c r="B812" s="1">
        <v>45179</v>
      </c>
      <c r="C812" t="s">
        <v>145</v>
      </c>
      <c r="D812" t="s">
        <v>10</v>
      </c>
      <c r="E812">
        <v>42</v>
      </c>
      <c r="F812" t="s">
        <v>16</v>
      </c>
      <c r="G812">
        <v>4</v>
      </c>
      <c r="H812">
        <v>50</v>
      </c>
      <c r="I812">
        <v>200</v>
      </c>
    </row>
    <row r="813" spans="1:9" x14ac:dyDescent="0.3">
      <c r="A813">
        <v>820</v>
      </c>
      <c r="B813" s="1">
        <v>45052</v>
      </c>
      <c r="C813" t="s">
        <v>833</v>
      </c>
      <c r="D813" t="s">
        <v>10</v>
      </c>
      <c r="E813">
        <v>49</v>
      </c>
      <c r="F813" t="s">
        <v>16</v>
      </c>
      <c r="G813">
        <v>4</v>
      </c>
      <c r="H813">
        <v>50</v>
      </c>
      <c r="I813">
        <v>200</v>
      </c>
    </row>
    <row r="814" spans="1:9" x14ac:dyDescent="0.3">
      <c r="A814">
        <v>807</v>
      </c>
      <c r="B814" s="1">
        <v>45149</v>
      </c>
      <c r="C814" t="s">
        <v>820</v>
      </c>
      <c r="D814" t="s">
        <v>13</v>
      </c>
      <c r="E814">
        <v>50</v>
      </c>
      <c r="F814" t="s">
        <v>16</v>
      </c>
      <c r="G814">
        <v>4</v>
      </c>
      <c r="H814">
        <v>50</v>
      </c>
      <c r="I814">
        <v>200</v>
      </c>
    </row>
    <row r="815" spans="1:9" x14ac:dyDescent="0.3">
      <c r="A815">
        <v>569</v>
      </c>
      <c r="B815" s="1">
        <v>45153</v>
      </c>
      <c r="C815" t="s">
        <v>582</v>
      </c>
      <c r="D815" t="s">
        <v>10</v>
      </c>
      <c r="E815">
        <v>52</v>
      </c>
      <c r="F815" t="s">
        <v>16</v>
      </c>
      <c r="G815">
        <v>4</v>
      </c>
      <c r="H815">
        <v>50</v>
      </c>
      <c r="I815">
        <v>200</v>
      </c>
    </row>
    <row r="816" spans="1:9" x14ac:dyDescent="0.3">
      <c r="A816">
        <v>917</v>
      </c>
      <c r="B816" s="1">
        <v>44991</v>
      </c>
      <c r="C816" t="s">
        <v>930</v>
      </c>
      <c r="D816" t="s">
        <v>13</v>
      </c>
      <c r="E816">
        <v>57</v>
      </c>
      <c r="F816" t="s">
        <v>16</v>
      </c>
      <c r="G816">
        <v>4</v>
      </c>
      <c r="H816">
        <v>50</v>
      </c>
      <c r="I816">
        <v>200</v>
      </c>
    </row>
    <row r="817" spans="1:9" x14ac:dyDescent="0.3">
      <c r="A817">
        <v>411</v>
      </c>
      <c r="B817" s="1">
        <v>45062</v>
      </c>
      <c r="C817" t="s">
        <v>424</v>
      </c>
      <c r="D817" t="s">
        <v>10</v>
      </c>
      <c r="E817">
        <v>62</v>
      </c>
      <c r="F817" t="s">
        <v>16</v>
      </c>
      <c r="G817">
        <v>4</v>
      </c>
      <c r="H817">
        <v>50</v>
      </c>
      <c r="I817">
        <v>200</v>
      </c>
    </row>
    <row r="818" spans="1:9" x14ac:dyDescent="0.3">
      <c r="A818">
        <v>282</v>
      </c>
      <c r="B818" s="1">
        <v>45163</v>
      </c>
      <c r="C818" t="s">
        <v>295</v>
      </c>
      <c r="D818" t="s">
        <v>13</v>
      </c>
      <c r="E818">
        <v>64</v>
      </c>
      <c r="F818" t="s">
        <v>16</v>
      </c>
      <c r="G818">
        <v>4</v>
      </c>
      <c r="H818">
        <v>50</v>
      </c>
      <c r="I818">
        <v>200</v>
      </c>
    </row>
    <row r="819" spans="1:9" x14ac:dyDescent="0.3">
      <c r="A819">
        <v>695</v>
      </c>
      <c r="B819" s="1">
        <v>45150</v>
      </c>
      <c r="C819" t="s">
        <v>708</v>
      </c>
      <c r="D819" t="s">
        <v>13</v>
      </c>
      <c r="E819">
        <v>22</v>
      </c>
      <c r="F819" t="s">
        <v>16</v>
      </c>
      <c r="G819">
        <v>3</v>
      </c>
      <c r="H819">
        <v>50</v>
      </c>
      <c r="I819">
        <v>150</v>
      </c>
    </row>
    <row r="820" spans="1:9" x14ac:dyDescent="0.3">
      <c r="A820">
        <v>426</v>
      </c>
      <c r="B820" s="1">
        <v>45009</v>
      </c>
      <c r="C820" t="s">
        <v>439</v>
      </c>
      <c r="D820" t="s">
        <v>10</v>
      </c>
      <c r="E820">
        <v>23</v>
      </c>
      <c r="F820" t="s">
        <v>16</v>
      </c>
      <c r="G820">
        <v>3</v>
      </c>
      <c r="H820">
        <v>50</v>
      </c>
      <c r="I820">
        <v>150</v>
      </c>
    </row>
    <row r="821" spans="1:9" x14ac:dyDescent="0.3">
      <c r="A821">
        <v>999</v>
      </c>
      <c r="B821" s="1">
        <v>45265</v>
      </c>
      <c r="C821" t="s">
        <v>1012</v>
      </c>
      <c r="D821" t="s">
        <v>13</v>
      </c>
      <c r="E821">
        <v>36</v>
      </c>
      <c r="F821" t="s">
        <v>16</v>
      </c>
      <c r="G821">
        <v>3</v>
      </c>
      <c r="H821">
        <v>50</v>
      </c>
      <c r="I821">
        <v>150</v>
      </c>
    </row>
    <row r="822" spans="1:9" x14ac:dyDescent="0.3">
      <c r="A822">
        <v>465</v>
      </c>
      <c r="B822" s="1">
        <v>45018</v>
      </c>
      <c r="C822" t="s">
        <v>478</v>
      </c>
      <c r="D822" t="s">
        <v>13</v>
      </c>
      <c r="E822">
        <v>43</v>
      </c>
      <c r="F822" t="s">
        <v>16</v>
      </c>
      <c r="G822">
        <v>3</v>
      </c>
      <c r="H822">
        <v>50</v>
      </c>
      <c r="I822">
        <v>150</v>
      </c>
    </row>
    <row r="823" spans="1:9" x14ac:dyDescent="0.3">
      <c r="A823">
        <v>502</v>
      </c>
      <c r="B823" s="1">
        <v>45018</v>
      </c>
      <c r="C823" t="s">
        <v>515</v>
      </c>
      <c r="D823" t="s">
        <v>10</v>
      </c>
      <c r="E823">
        <v>43</v>
      </c>
      <c r="F823" t="s">
        <v>16</v>
      </c>
      <c r="G823">
        <v>3</v>
      </c>
      <c r="H823">
        <v>50</v>
      </c>
      <c r="I823">
        <v>150</v>
      </c>
    </row>
    <row r="824" spans="1:9" x14ac:dyDescent="0.3">
      <c r="A824">
        <v>777</v>
      </c>
      <c r="B824" s="1">
        <v>45280</v>
      </c>
      <c r="C824" t="s">
        <v>790</v>
      </c>
      <c r="D824" t="s">
        <v>10</v>
      </c>
      <c r="E824">
        <v>48</v>
      </c>
      <c r="F824" t="s">
        <v>16</v>
      </c>
      <c r="G824">
        <v>3</v>
      </c>
      <c r="H824">
        <v>50</v>
      </c>
      <c r="I824">
        <v>150</v>
      </c>
    </row>
    <row r="825" spans="1:9" x14ac:dyDescent="0.3">
      <c r="A825">
        <v>993</v>
      </c>
      <c r="B825" s="1">
        <v>44963</v>
      </c>
      <c r="C825" t="s">
        <v>1006</v>
      </c>
      <c r="D825" t="s">
        <v>13</v>
      </c>
      <c r="E825">
        <v>48</v>
      </c>
      <c r="F825" t="s">
        <v>16</v>
      </c>
      <c r="G825">
        <v>3</v>
      </c>
      <c r="H825">
        <v>50</v>
      </c>
      <c r="I825">
        <v>150</v>
      </c>
    </row>
    <row r="826" spans="1:9" x14ac:dyDescent="0.3">
      <c r="A826">
        <v>666</v>
      </c>
      <c r="B826" s="1">
        <v>44959</v>
      </c>
      <c r="C826" t="s">
        <v>679</v>
      </c>
      <c r="D826" t="s">
        <v>10</v>
      </c>
      <c r="E826">
        <v>51</v>
      </c>
      <c r="F826" t="s">
        <v>16</v>
      </c>
      <c r="G826">
        <v>3</v>
      </c>
      <c r="H826">
        <v>50</v>
      </c>
      <c r="I826">
        <v>150</v>
      </c>
    </row>
    <row r="827" spans="1:9" x14ac:dyDescent="0.3">
      <c r="A827">
        <v>728</v>
      </c>
      <c r="B827" s="1">
        <v>45121</v>
      </c>
      <c r="C827" t="s">
        <v>741</v>
      </c>
      <c r="D827" t="s">
        <v>10</v>
      </c>
      <c r="E827">
        <v>51</v>
      </c>
      <c r="F827" t="s">
        <v>16</v>
      </c>
      <c r="G827">
        <v>3</v>
      </c>
      <c r="H827">
        <v>50</v>
      </c>
      <c r="I827">
        <v>150</v>
      </c>
    </row>
    <row r="828" spans="1:9" x14ac:dyDescent="0.3">
      <c r="A828">
        <v>324</v>
      </c>
      <c r="B828" s="1">
        <v>45226</v>
      </c>
      <c r="C828" t="s">
        <v>337</v>
      </c>
      <c r="D828" t="s">
        <v>13</v>
      </c>
      <c r="E828">
        <v>52</v>
      </c>
      <c r="F828" t="s">
        <v>16</v>
      </c>
      <c r="G828">
        <v>3</v>
      </c>
      <c r="H828">
        <v>50</v>
      </c>
      <c r="I828">
        <v>150</v>
      </c>
    </row>
    <row r="829" spans="1:9" x14ac:dyDescent="0.3">
      <c r="A829">
        <v>813</v>
      </c>
      <c r="B829" s="1">
        <v>45202</v>
      </c>
      <c r="C829" t="s">
        <v>826</v>
      </c>
      <c r="D829" t="s">
        <v>10</v>
      </c>
      <c r="E829">
        <v>52</v>
      </c>
      <c r="F829" t="s">
        <v>16</v>
      </c>
      <c r="G829">
        <v>3</v>
      </c>
      <c r="H829">
        <v>50</v>
      </c>
      <c r="I829">
        <v>150</v>
      </c>
    </row>
    <row r="830" spans="1:9" x14ac:dyDescent="0.3">
      <c r="A830">
        <v>467</v>
      </c>
      <c r="B830" s="1">
        <v>45137</v>
      </c>
      <c r="C830" t="s">
        <v>480</v>
      </c>
      <c r="D830" t="s">
        <v>13</v>
      </c>
      <c r="E830">
        <v>53</v>
      </c>
      <c r="F830" t="s">
        <v>16</v>
      </c>
      <c r="G830">
        <v>3</v>
      </c>
      <c r="H830">
        <v>50</v>
      </c>
      <c r="I830">
        <v>150</v>
      </c>
    </row>
    <row r="831" spans="1:9" x14ac:dyDescent="0.3">
      <c r="A831">
        <v>327</v>
      </c>
      <c r="B831" s="1">
        <v>45198</v>
      </c>
      <c r="C831" t="s">
        <v>340</v>
      </c>
      <c r="D831" t="s">
        <v>10</v>
      </c>
      <c r="E831">
        <v>57</v>
      </c>
      <c r="F831" t="s">
        <v>16</v>
      </c>
      <c r="G831">
        <v>3</v>
      </c>
      <c r="H831">
        <v>50</v>
      </c>
      <c r="I831">
        <v>150</v>
      </c>
    </row>
    <row r="832" spans="1:9" x14ac:dyDescent="0.3">
      <c r="A832">
        <v>668</v>
      </c>
      <c r="B832" s="1">
        <v>45135</v>
      </c>
      <c r="C832" t="s">
        <v>681</v>
      </c>
      <c r="D832" t="s">
        <v>13</v>
      </c>
      <c r="E832">
        <v>62</v>
      </c>
      <c r="F832" t="s">
        <v>16</v>
      </c>
      <c r="G832">
        <v>3</v>
      </c>
      <c r="H832">
        <v>50</v>
      </c>
      <c r="I832">
        <v>150</v>
      </c>
    </row>
    <row r="833" spans="1:9" x14ac:dyDescent="0.3">
      <c r="A833">
        <v>671</v>
      </c>
      <c r="B833" s="1">
        <v>45165</v>
      </c>
      <c r="C833" t="s">
        <v>684</v>
      </c>
      <c r="D833" t="s">
        <v>10</v>
      </c>
      <c r="E833">
        <v>62</v>
      </c>
      <c r="F833" t="s">
        <v>16</v>
      </c>
      <c r="G833">
        <v>3</v>
      </c>
      <c r="H833">
        <v>50</v>
      </c>
      <c r="I833">
        <v>150</v>
      </c>
    </row>
    <row r="834" spans="1:9" x14ac:dyDescent="0.3">
      <c r="A834">
        <v>530</v>
      </c>
      <c r="B834" s="1">
        <v>44962</v>
      </c>
      <c r="C834" t="s">
        <v>543</v>
      </c>
      <c r="D834" t="s">
        <v>13</v>
      </c>
      <c r="E834">
        <v>18</v>
      </c>
      <c r="F834" t="s">
        <v>16</v>
      </c>
      <c r="G834">
        <v>4</v>
      </c>
      <c r="H834">
        <v>30</v>
      </c>
      <c r="I834">
        <v>120</v>
      </c>
    </row>
    <row r="835" spans="1:9" x14ac:dyDescent="0.3">
      <c r="A835">
        <v>769</v>
      </c>
      <c r="B835" s="1">
        <v>45086</v>
      </c>
      <c r="C835" t="s">
        <v>782</v>
      </c>
      <c r="D835" t="s">
        <v>13</v>
      </c>
      <c r="E835">
        <v>31</v>
      </c>
      <c r="F835" t="s">
        <v>16</v>
      </c>
      <c r="G835">
        <v>4</v>
      </c>
      <c r="H835">
        <v>30</v>
      </c>
      <c r="I835">
        <v>120</v>
      </c>
    </row>
    <row r="836" spans="1:9" x14ac:dyDescent="0.3">
      <c r="A836">
        <v>645</v>
      </c>
      <c r="B836" s="1">
        <v>45247</v>
      </c>
      <c r="C836" t="s">
        <v>658</v>
      </c>
      <c r="D836" t="s">
        <v>13</v>
      </c>
      <c r="E836">
        <v>35</v>
      </c>
      <c r="F836" t="s">
        <v>16</v>
      </c>
      <c r="G836">
        <v>4</v>
      </c>
      <c r="H836">
        <v>30</v>
      </c>
      <c r="I836">
        <v>120</v>
      </c>
    </row>
    <row r="837" spans="1:9" x14ac:dyDescent="0.3">
      <c r="A837">
        <v>519</v>
      </c>
      <c r="B837" s="1">
        <v>44949</v>
      </c>
      <c r="C837" t="s">
        <v>532</v>
      </c>
      <c r="D837" t="s">
        <v>13</v>
      </c>
      <c r="E837">
        <v>36</v>
      </c>
      <c r="F837" t="s">
        <v>16</v>
      </c>
      <c r="G837">
        <v>4</v>
      </c>
      <c r="H837">
        <v>30</v>
      </c>
      <c r="I837">
        <v>120</v>
      </c>
    </row>
    <row r="838" spans="1:9" x14ac:dyDescent="0.3">
      <c r="A838">
        <v>870</v>
      </c>
      <c r="B838" s="1">
        <v>45115</v>
      </c>
      <c r="C838" t="s">
        <v>883</v>
      </c>
      <c r="D838" t="s">
        <v>13</v>
      </c>
      <c r="E838">
        <v>46</v>
      </c>
      <c r="F838" t="s">
        <v>16</v>
      </c>
      <c r="G838">
        <v>4</v>
      </c>
      <c r="H838">
        <v>30</v>
      </c>
      <c r="I838">
        <v>120</v>
      </c>
    </row>
    <row r="839" spans="1:9" x14ac:dyDescent="0.3">
      <c r="A839">
        <v>1000</v>
      </c>
      <c r="B839" s="1">
        <v>45028</v>
      </c>
      <c r="C839" t="s">
        <v>1013</v>
      </c>
      <c r="D839" t="s">
        <v>10</v>
      </c>
      <c r="E839">
        <v>47</v>
      </c>
      <c r="F839" t="s">
        <v>16</v>
      </c>
      <c r="G839">
        <v>4</v>
      </c>
      <c r="H839">
        <v>30</v>
      </c>
      <c r="I839">
        <v>120</v>
      </c>
    </row>
    <row r="840" spans="1:9" x14ac:dyDescent="0.3">
      <c r="A840">
        <v>92</v>
      </c>
      <c r="B840" s="1">
        <v>45163</v>
      </c>
      <c r="C840" t="s">
        <v>105</v>
      </c>
      <c r="D840" t="s">
        <v>13</v>
      </c>
      <c r="E840">
        <v>51</v>
      </c>
      <c r="F840" t="s">
        <v>16</v>
      </c>
      <c r="G840">
        <v>4</v>
      </c>
      <c r="H840">
        <v>30</v>
      </c>
      <c r="I840">
        <v>120</v>
      </c>
    </row>
    <row r="841" spans="1:9" x14ac:dyDescent="0.3">
      <c r="A841">
        <v>640</v>
      </c>
      <c r="B841" s="1">
        <v>45053</v>
      </c>
      <c r="C841" t="s">
        <v>653</v>
      </c>
      <c r="D841" t="s">
        <v>13</v>
      </c>
      <c r="E841">
        <v>51</v>
      </c>
      <c r="F841" t="s">
        <v>16</v>
      </c>
      <c r="G841">
        <v>4</v>
      </c>
      <c r="H841">
        <v>30</v>
      </c>
      <c r="I841">
        <v>120</v>
      </c>
    </row>
    <row r="842" spans="1:9" x14ac:dyDescent="0.3">
      <c r="A842">
        <v>856</v>
      </c>
      <c r="B842" s="1">
        <v>45257</v>
      </c>
      <c r="C842" t="s">
        <v>869</v>
      </c>
      <c r="D842" t="s">
        <v>10</v>
      </c>
      <c r="E842">
        <v>54</v>
      </c>
      <c r="F842" t="s">
        <v>16</v>
      </c>
      <c r="G842">
        <v>4</v>
      </c>
      <c r="H842">
        <v>30</v>
      </c>
      <c r="I842">
        <v>120</v>
      </c>
    </row>
    <row r="843" spans="1:9" x14ac:dyDescent="0.3">
      <c r="A843">
        <v>425</v>
      </c>
      <c r="B843" s="1">
        <v>45061</v>
      </c>
      <c r="C843" t="s">
        <v>438</v>
      </c>
      <c r="D843" t="s">
        <v>13</v>
      </c>
      <c r="E843">
        <v>55</v>
      </c>
      <c r="F843" t="s">
        <v>16</v>
      </c>
      <c r="G843">
        <v>4</v>
      </c>
      <c r="H843">
        <v>30</v>
      </c>
      <c r="I843">
        <v>120</v>
      </c>
    </row>
    <row r="844" spans="1:9" x14ac:dyDescent="0.3">
      <c r="A844">
        <v>150</v>
      </c>
      <c r="B844" s="1">
        <v>44932</v>
      </c>
      <c r="C844" t="s">
        <v>163</v>
      </c>
      <c r="D844" t="s">
        <v>13</v>
      </c>
      <c r="E844">
        <v>58</v>
      </c>
      <c r="F844" t="s">
        <v>16</v>
      </c>
      <c r="G844">
        <v>4</v>
      </c>
      <c r="H844">
        <v>30</v>
      </c>
      <c r="I844">
        <v>120</v>
      </c>
    </row>
    <row r="845" spans="1:9" x14ac:dyDescent="0.3">
      <c r="A845">
        <v>957</v>
      </c>
      <c r="B845" s="1">
        <v>45153</v>
      </c>
      <c r="C845" t="s">
        <v>970</v>
      </c>
      <c r="D845" t="s">
        <v>13</v>
      </c>
      <c r="E845">
        <v>60</v>
      </c>
      <c r="F845" t="s">
        <v>16</v>
      </c>
      <c r="G845">
        <v>4</v>
      </c>
      <c r="H845">
        <v>30</v>
      </c>
      <c r="I845">
        <v>120</v>
      </c>
    </row>
    <row r="846" spans="1:9" x14ac:dyDescent="0.3">
      <c r="A846">
        <v>122</v>
      </c>
      <c r="B846" s="1">
        <v>45202</v>
      </c>
      <c r="C846" t="s">
        <v>135</v>
      </c>
      <c r="D846" t="s">
        <v>10</v>
      </c>
      <c r="E846">
        <v>64</v>
      </c>
      <c r="F846" t="s">
        <v>16</v>
      </c>
      <c r="G846">
        <v>4</v>
      </c>
      <c r="H846">
        <v>30</v>
      </c>
      <c r="I846">
        <v>120</v>
      </c>
    </row>
    <row r="847" spans="1:9" x14ac:dyDescent="0.3">
      <c r="A847">
        <v>173</v>
      </c>
      <c r="B847" s="1">
        <v>45238</v>
      </c>
      <c r="C847" t="s">
        <v>186</v>
      </c>
      <c r="D847" t="s">
        <v>10</v>
      </c>
      <c r="E847">
        <v>64</v>
      </c>
      <c r="F847" t="s">
        <v>16</v>
      </c>
      <c r="G847">
        <v>4</v>
      </c>
      <c r="H847">
        <v>30</v>
      </c>
      <c r="I847">
        <v>120</v>
      </c>
    </row>
    <row r="848" spans="1:9" x14ac:dyDescent="0.3">
      <c r="A848">
        <v>76</v>
      </c>
      <c r="B848" s="1">
        <v>45010</v>
      </c>
      <c r="C848" t="s">
        <v>89</v>
      </c>
      <c r="D848" t="s">
        <v>13</v>
      </c>
      <c r="E848">
        <v>22</v>
      </c>
      <c r="F848" t="s">
        <v>16</v>
      </c>
      <c r="G848">
        <v>2</v>
      </c>
      <c r="H848">
        <v>50</v>
      </c>
      <c r="I848">
        <v>100</v>
      </c>
    </row>
    <row r="849" spans="1:9" x14ac:dyDescent="0.3">
      <c r="A849">
        <v>858</v>
      </c>
      <c r="B849" s="1">
        <v>45178</v>
      </c>
      <c r="C849" t="s">
        <v>871</v>
      </c>
      <c r="D849" t="s">
        <v>10</v>
      </c>
      <c r="E849">
        <v>23</v>
      </c>
      <c r="F849" t="s">
        <v>16</v>
      </c>
      <c r="G849">
        <v>2</v>
      </c>
      <c r="H849">
        <v>50</v>
      </c>
      <c r="I849">
        <v>100</v>
      </c>
    </row>
    <row r="850" spans="1:9" x14ac:dyDescent="0.3">
      <c r="A850">
        <v>513</v>
      </c>
      <c r="B850" s="1">
        <v>45188</v>
      </c>
      <c r="C850" t="s">
        <v>526</v>
      </c>
      <c r="D850" t="s">
        <v>10</v>
      </c>
      <c r="E850">
        <v>24</v>
      </c>
      <c r="F850" t="s">
        <v>16</v>
      </c>
      <c r="G850">
        <v>4</v>
      </c>
      <c r="H850">
        <v>25</v>
      </c>
      <c r="I850">
        <v>100</v>
      </c>
    </row>
    <row r="851" spans="1:9" x14ac:dyDescent="0.3">
      <c r="A851">
        <v>583</v>
      </c>
      <c r="B851" s="1">
        <v>45098</v>
      </c>
      <c r="C851" t="s">
        <v>596</v>
      </c>
      <c r="D851" t="s">
        <v>13</v>
      </c>
      <c r="E851">
        <v>24</v>
      </c>
      <c r="F851" t="s">
        <v>16</v>
      </c>
      <c r="G851">
        <v>4</v>
      </c>
      <c r="H851">
        <v>25</v>
      </c>
      <c r="I851">
        <v>100</v>
      </c>
    </row>
    <row r="852" spans="1:9" x14ac:dyDescent="0.3">
      <c r="A852">
        <v>632</v>
      </c>
      <c r="B852" s="1">
        <v>45185</v>
      </c>
      <c r="C852" t="s">
        <v>645</v>
      </c>
      <c r="D852" t="s">
        <v>13</v>
      </c>
      <c r="E852">
        <v>26</v>
      </c>
      <c r="F852" t="s">
        <v>16</v>
      </c>
      <c r="G852">
        <v>4</v>
      </c>
      <c r="H852">
        <v>25</v>
      </c>
      <c r="I852">
        <v>100</v>
      </c>
    </row>
    <row r="853" spans="1:9" x14ac:dyDescent="0.3">
      <c r="A853">
        <v>831</v>
      </c>
      <c r="B853" s="1">
        <v>44941</v>
      </c>
      <c r="C853" t="s">
        <v>844</v>
      </c>
      <c r="D853" t="s">
        <v>10</v>
      </c>
      <c r="E853">
        <v>27</v>
      </c>
      <c r="F853" t="s">
        <v>16</v>
      </c>
      <c r="G853">
        <v>4</v>
      </c>
      <c r="H853">
        <v>25</v>
      </c>
      <c r="I853">
        <v>100</v>
      </c>
    </row>
    <row r="854" spans="1:9" x14ac:dyDescent="0.3">
      <c r="A854">
        <v>873</v>
      </c>
      <c r="B854" s="1">
        <v>45198</v>
      </c>
      <c r="C854" t="s">
        <v>886</v>
      </c>
      <c r="D854" t="s">
        <v>13</v>
      </c>
      <c r="E854">
        <v>27</v>
      </c>
      <c r="F854" t="s">
        <v>16</v>
      </c>
      <c r="G854">
        <v>4</v>
      </c>
      <c r="H854">
        <v>25</v>
      </c>
      <c r="I854">
        <v>100</v>
      </c>
    </row>
    <row r="855" spans="1:9" x14ac:dyDescent="0.3">
      <c r="A855">
        <v>8</v>
      </c>
      <c r="B855" s="1">
        <v>44979</v>
      </c>
      <c r="C855" t="s">
        <v>21</v>
      </c>
      <c r="D855" t="s">
        <v>10</v>
      </c>
      <c r="E855">
        <v>30</v>
      </c>
      <c r="F855" t="s">
        <v>16</v>
      </c>
      <c r="G855">
        <v>4</v>
      </c>
      <c r="H855">
        <v>25</v>
      </c>
      <c r="I855">
        <v>100</v>
      </c>
    </row>
    <row r="856" spans="1:9" x14ac:dyDescent="0.3">
      <c r="A856">
        <v>175</v>
      </c>
      <c r="B856" s="1">
        <v>45005</v>
      </c>
      <c r="C856" t="s">
        <v>188</v>
      </c>
      <c r="D856" t="s">
        <v>13</v>
      </c>
      <c r="E856">
        <v>31</v>
      </c>
      <c r="F856" t="s">
        <v>16</v>
      </c>
      <c r="G856">
        <v>4</v>
      </c>
      <c r="H856">
        <v>25</v>
      </c>
      <c r="I856">
        <v>100</v>
      </c>
    </row>
    <row r="857" spans="1:9" x14ac:dyDescent="0.3">
      <c r="A857">
        <v>455</v>
      </c>
      <c r="B857" s="1">
        <v>45108</v>
      </c>
      <c r="C857" t="s">
        <v>468</v>
      </c>
      <c r="D857" t="s">
        <v>10</v>
      </c>
      <c r="E857">
        <v>31</v>
      </c>
      <c r="F857" t="s">
        <v>16</v>
      </c>
      <c r="G857">
        <v>4</v>
      </c>
      <c r="H857">
        <v>25</v>
      </c>
      <c r="I857">
        <v>100</v>
      </c>
    </row>
    <row r="858" spans="1:9" x14ac:dyDescent="0.3">
      <c r="A858">
        <v>841</v>
      </c>
      <c r="B858" s="1">
        <v>45232</v>
      </c>
      <c r="C858" t="s">
        <v>854</v>
      </c>
      <c r="D858" t="s">
        <v>10</v>
      </c>
      <c r="E858">
        <v>31</v>
      </c>
      <c r="F858" t="s">
        <v>16</v>
      </c>
      <c r="G858">
        <v>4</v>
      </c>
      <c r="H858">
        <v>25</v>
      </c>
      <c r="I858">
        <v>100</v>
      </c>
    </row>
    <row r="859" spans="1:9" x14ac:dyDescent="0.3">
      <c r="A859">
        <v>53</v>
      </c>
      <c r="B859" s="1">
        <v>45120</v>
      </c>
      <c r="C859" t="s">
        <v>66</v>
      </c>
      <c r="D859" t="s">
        <v>10</v>
      </c>
      <c r="E859">
        <v>34</v>
      </c>
      <c r="F859" t="s">
        <v>16</v>
      </c>
      <c r="G859">
        <v>2</v>
      </c>
      <c r="H859">
        <v>50</v>
      </c>
      <c r="I859">
        <v>100</v>
      </c>
    </row>
    <row r="860" spans="1:9" x14ac:dyDescent="0.3">
      <c r="A860">
        <v>703</v>
      </c>
      <c r="B860" s="1">
        <v>45011</v>
      </c>
      <c r="C860" t="s">
        <v>716</v>
      </c>
      <c r="D860" t="s">
        <v>10</v>
      </c>
      <c r="E860">
        <v>34</v>
      </c>
      <c r="F860" t="s">
        <v>16</v>
      </c>
      <c r="G860">
        <v>2</v>
      </c>
      <c r="H860">
        <v>50</v>
      </c>
      <c r="I860">
        <v>100</v>
      </c>
    </row>
    <row r="861" spans="1:9" x14ac:dyDescent="0.3">
      <c r="A861">
        <v>227</v>
      </c>
      <c r="B861" s="1">
        <v>45210</v>
      </c>
      <c r="C861" t="s">
        <v>240</v>
      </c>
      <c r="D861" t="s">
        <v>10</v>
      </c>
      <c r="E861">
        <v>36</v>
      </c>
      <c r="F861" t="s">
        <v>16</v>
      </c>
      <c r="G861">
        <v>2</v>
      </c>
      <c r="H861">
        <v>50</v>
      </c>
      <c r="I861">
        <v>100</v>
      </c>
    </row>
    <row r="862" spans="1:9" x14ac:dyDescent="0.3">
      <c r="A862">
        <v>390</v>
      </c>
      <c r="B862" s="1">
        <v>45197</v>
      </c>
      <c r="C862" t="s">
        <v>403</v>
      </c>
      <c r="D862" t="s">
        <v>10</v>
      </c>
      <c r="E862">
        <v>39</v>
      </c>
      <c r="F862" t="s">
        <v>16</v>
      </c>
      <c r="G862">
        <v>2</v>
      </c>
      <c r="H862">
        <v>50</v>
      </c>
      <c r="I862">
        <v>100</v>
      </c>
    </row>
    <row r="863" spans="1:9" x14ac:dyDescent="0.3">
      <c r="A863">
        <v>458</v>
      </c>
      <c r="B863" s="1">
        <v>45244</v>
      </c>
      <c r="C863" t="s">
        <v>471</v>
      </c>
      <c r="D863" t="s">
        <v>13</v>
      </c>
      <c r="E863">
        <v>39</v>
      </c>
      <c r="F863" t="s">
        <v>16</v>
      </c>
      <c r="G863">
        <v>4</v>
      </c>
      <c r="H863">
        <v>25</v>
      </c>
      <c r="I863">
        <v>100</v>
      </c>
    </row>
    <row r="864" spans="1:9" x14ac:dyDescent="0.3">
      <c r="A864">
        <v>754</v>
      </c>
      <c r="B864" s="1">
        <v>45215</v>
      </c>
      <c r="C864" t="s">
        <v>767</v>
      </c>
      <c r="D864" t="s">
        <v>13</v>
      </c>
      <c r="E864">
        <v>43</v>
      </c>
      <c r="F864" t="s">
        <v>16</v>
      </c>
      <c r="G864">
        <v>4</v>
      </c>
      <c r="H864">
        <v>25</v>
      </c>
      <c r="I864">
        <v>100</v>
      </c>
    </row>
    <row r="865" spans="1:9" x14ac:dyDescent="0.3">
      <c r="A865">
        <v>329</v>
      </c>
      <c r="B865" s="1">
        <v>44956</v>
      </c>
      <c r="C865" t="s">
        <v>342</v>
      </c>
      <c r="D865" t="s">
        <v>13</v>
      </c>
      <c r="E865">
        <v>46</v>
      </c>
      <c r="F865" t="s">
        <v>16</v>
      </c>
      <c r="G865">
        <v>4</v>
      </c>
      <c r="H865">
        <v>25</v>
      </c>
      <c r="I865">
        <v>100</v>
      </c>
    </row>
    <row r="866" spans="1:9" x14ac:dyDescent="0.3">
      <c r="A866">
        <v>775</v>
      </c>
      <c r="B866" s="1">
        <v>44965</v>
      </c>
      <c r="C866" t="s">
        <v>788</v>
      </c>
      <c r="D866" t="s">
        <v>13</v>
      </c>
      <c r="E866">
        <v>46</v>
      </c>
      <c r="F866" t="s">
        <v>16</v>
      </c>
      <c r="G866">
        <v>4</v>
      </c>
      <c r="H866">
        <v>25</v>
      </c>
      <c r="I866">
        <v>100</v>
      </c>
    </row>
    <row r="867" spans="1:9" x14ac:dyDescent="0.3">
      <c r="A867">
        <v>619</v>
      </c>
      <c r="B867" s="1">
        <v>45212</v>
      </c>
      <c r="C867" t="s">
        <v>632</v>
      </c>
      <c r="D867" t="s">
        <v>10</v>
      </c>
      <c r="E867">
        <v>47</v>
      </c>
      <c r="F867" t="s">
        <v>16</v>
      </c>
      <c r="G867">
        <v>4</v>
      </c>
      <c r="H867">
        <v>25</v>
      </c>
      <c r="I867">
        <v>100</v>
      </c>
    </row>
    <row r="868" spans="1:9" x14ac:dyDescent="0.3">
      <c r="A868">
        <v>520</v>
      </c>
      <c r="B868" s="1">
        <v>45289</v>
      </c>
      <c r="C868" t="s">
        <v>533</v>
      </c>
      <c r="D868" t="s">
        <v>13</v>
      </c>
      <c r="E868">
        <v>49</v>
      </c>
      <c r="F868" t="s">
        <v>16</v>
      </c>
      <c r="G868">
        <v>4</v>
      </c>
      <c r="H868">
        <v>25</v>
      </c>
      <c r="I868">
        <v>100</v>
      </c>
    </row>
    <row r="869" spans="1:9" x14ac:dyDescent="0.3">
      <c r="A869">
        <v>759</v>
      </c>
      <c r="B869" s="1">
        <v>45115</v>
      </c>
      <c r="C869" t="s">
        <v>772</v>
      </c>
      <c r="D869" t="s">
        <v>10</v>
      </c>
      <c r="E869">
        <v>49</v>
      </c>
      <c r="F869" t="s">
        <v>16</v>
      </c>
      <c r="G869">
        <v>2</v>
      </c>
      <c r="H869">
        <v>50</v>
      </c>
      <c r="I869">
        <v>100</v>
      </c>
    </row>
    <row r="870" spans="1:9" x14ac:dyDescent="0.3">
      <c r="A870">
        <v>33</v>
      </c>
      <c r="B870" s="1">
        <v>45008</v>
      </c>
      <c r="C870" t="s">
        <v>46</v>
      </c>
      <c r="D870" t="s">
        <v>13</v>
      </c>
      <c r="E870">
        <v>50</v>
      </c>
      <c r="F870" t="s">
        <v>16</v>
      </c>
      <c r="G870">
        <v>2</v>
      </c>
      <c r="H870">
        <v>50</v>
      </c>
      <c r="I870">
        <v>100</v>
      </c>
    </row>
    <row r="871" spans="1:9" x14ac:dyDescent="0.3">
      <c r="A871">
        <v>564</v>
      </c>
      <c r="B871" s="1">
        <v>45223</v>
      </c>
      <c r="C871" t="s">
        <v>577</v>
      </c>
      <c r="D871" t="s">
        <v>10</v>
      </c>
      <c r="E871">
        <v>50</v>
      </c>
      <c r="F871" t="s">
        <v>16</v>
      </c>
      <c r="G871">
        <v>2</v>
      </c>
      <c r="H871">
        <v>50</v>
      </c>
      <c r="I871">
        <v>100</v>
      </c>
    </row>
    <row r="872" spans="1:9" x14ac:dyDescent="0.3">
      <c r="A872">
        <v>706</v>
      </c>
      <c r="B872" s="1">
        <v>45245</v>
      </c>
      <c r="C872" t="s">
        <v>719</v>
      </c>
      <c r="D872" t="s">
        <v>10</v>
      </c>
      <c r="E872">
        <v>51</v>
      </c>
      <c r="F872" t="s">
        <v>16</v>
      </c>
      <c r="G872">
        <v>4</v>
      </c>
      <c r="H872">
        <v>25</v>
      </c>
      <c r="I872">
        <v>100</v>
      </c>
    </row>
    <row r="873" spans="1:9" x14ac:dyDescent="0.3">
      <c r="A873">
        <v>888</v>
      </c>
      <c r="B873" s="1">
        <v>44988</v>
      </c>
      <c r="C873" t="s">
        <v>901</v>
      </c>
      <c r="D873" t="s">
        <v>13</v>
      </c>
      <c r="E873">
        <v>52</v>
      </c>
      <c r="F873" t="s">
        <v>16</v>
      </c>
      <c r="G873">
        <v>4</v>
      </c>
      <c r="H873">
        <v>25</v>
      </c>
      <c r="I873">
        <v>100</v>
      </c>
    </row>
    <row r="874" spans="1:9" x14ac:dyDescent="0.3">
      <c r="A874">
        <v>591</v>
      </c>
      <c r="B874" s="1">
        <v>44939</v>
      </c>
      <c r="C874" t="s">
        <v>604</v>
      </c>
      <c r="D874" t="s">
        <v>10</v>
      </c>
      <c r="E874">
        <v>53</v>
      </c>
      <c r="F874" t="s">
        <v>16</v>
      </c>
      <c r="G874">
        <v>4</v>
      </c>
      <c r="H874">
        <v>25</v>
      </c>
      <c r="I874">
        <v>100</v>
      </c>
    </row>
    <row r="875" spans="1:9" x14ac:dyDescent="0.3">
      <c r="A875">
        <v>83</v>
      </c>
      <c r="B875" s="1">
        <v>45276</v>
      </c>
      <c r="C875" t="s">
        <v>96</v>
      </c>
      <c r="D875" t="s">
        <v>10</v>
      </c>
      <c r="E875">
        <v>54</v>
      </c>
      <c r="F875" t="s">
        <v>16</v>
      </c>
      <c r="G875">
        <v>2</v>
      </c>
      <c r="H875">
        <v>50</v>
      </c>
      <c r="I875">
        <v>100</v>
      </c>
    </row>
    <row r="876" spans="1:9" x14ac:dyDescent="0.3">
      <c r="A876">
        <v>799</v>
      </c>
      <c r="B876" s="1">
        <v>45177</v>
      </c>
      <c r="C876" t="s">
        <v>812</v>
      </c>
      <c r="D876" t="s">
        <v>10</v>
      </c>
      <c r="E876">
        <v>56</v>
      </c>
      <c r="F876" t="s">
        <v>16</v>
      </c>
      <c r="G876">
        <v>2</v>
      </c>
      <c r="H876">
        <v>50</v>
      </c>
      <c r="I876">
        <v>100</v>
      </c>
    </row>
    <row r="877" spans="1:9" x14ac:dyDescent="0.3">
      <c r="A877">
        <v>823</v>
      </c>
      <c r="B877" s="1">
        <v>45157</v>
      </c>
      <c r="C877" t="s">
        <v>836</v>
      </c>
      <c r="D877" t="s">
        <v>13</v>
      </c>
      <c r="E877">
        <v>56</v>
      </c>
      <c r="F877" t="s">
        <v>16</v>
      </c>
      <c r="G877">
        <v>2</v>
      </c>
      <c r="H877">
        <v>50</v>
      </c>
      <c r="I877">
        <v>100</v>
      </c>
    </row>
    <row r="878" spans="1:9" x14ac:dyDescent="0.3">
      <c r="A878">
        <v>689</v>
      </c>
      <c r="B878" s="1">
        <v>45206</v>
      </c>
      <c r="C878" t="s">
        <v>702</v>
      </c>
      <c r="D878" t="s">
        <v>10</v>
      </c>
      <c r="E878">
        <v>57</v>
      </c>
      <c r="F878" t="s">
        <v>16</v>
      </c>
      <c r="G878">
        <v>2</v>
      </c>
      <c r="H878">
        <v>50</v>
      </c>
      <c r="I878">
        <v>100</v>
      </c>
    </row>
    <row r="879" spans="1:9" x14ac:dyDescent="0.3">
      <c r="A879">
        <v>810</v>
      </c>
      <c r="B879" s="1">
        <v>45260</v>
      </c>
      <c r="C879" t="s">
        <v>823</v>
      </c>
      <c r="D879" t="s">
        <v>10</v>
      </c>
      <c r="E879">
        <v>59</v>
      </c>
      <c r="F879" t="s">
        <v>16</v>
      </c>
      <c r="G879">
        <v>4</v>
      </c>
      <c r="H879">
        <v>25</v>
      </c>
      <c r="I879">
        <v>100</v>
      </c>
    </row>
    <row r="880" spans="1:9" x14ac:dyDescent="0.3">
      <c r="A880">
        <v>272</v>
      </c>
      <c r="B880" s="1">
        <v>44982</v>
      </c>
      <c r="C880" t="s">
        <v>285</v>
      </c>
      <c r="D880" t="s">
        <v>13</v>
      </c>
      <c r="E880">
        <v>61</v>
      </c>
      <c r="F880" t="s">
        <v>16</v>
      </c>
      <c r="G880">
        <v>2</v>
      </c>
      <c r="H880">
        <v>50</v>
      </c>
      <c r="I880">
        <v>100</v>
      </c>
    </row>
    <row r="881" spans="1:9" x14ac:dyDescent="0.3">
      <c r="A881">
        <v>216</v>
      </c>
      <c r="B881" s="1">
        <v>45118</v>
      </c>
      <c r="C881" t="s">
        <v>229</v>
      </c>
      <c r="D881" t="s">
        <v>10</v>
      </c>
      <c r="E881">
        <v>62</v>
      </c>
      <c r="F881" t="s">
        <v>16</v>
      </c>
      <c r="G881">
        <v>2</v>
      </c>
      <c r="H881">
        <v>50</v>
      </c>
      <c r="I881">
        <v>100</v>
      </c>
    </row>
    <row r="882" spans="1:9" x14ac:dyDescent="0.3">
      <c r="A882">
        <v>466</v>
      </c>
      <c r="B882" s="1">
        <v>45097</v>
      </c>
      <c r="C882" t="s">
        <v>479</v>
      </c>
      <c r="D882" t="s">
        <v>10</v>
      </c>
      <c r="E882">
        <v>63</v>
      </c>
      <c r="F882" t="s">
        <v>16</v>
      </c>
      <c r="G882">
        <v>4</v>
      </c>
      <c r="H882">
        <v>25</v>
      </c>
      <c r="I882">
        <v>100</v>
      </c>
    </row>
    <row r="883" spans="1:9" x14ac:dyDescent="0.3">
      <c r="A883">
        <v>897</v>
      </c>
      <c r="B883" s="1">
        <v>45195</v>
      </c>
      <c r="C883" t="s">
        <v>910</v>
      </c>
      <c r="D883" t="s">
        <v>13</v>
      </c>
      <c r="E883">
        <v>64</v>
      </c>
      <c r="F883" t="s">
        <v>16</v>
      </c>
      <c r="G883">
        <v>2</v>
      </c>
      <c r="H883">
        <v>50</v>
      </c>
      <c r="I883">
        <v>100</v>
      </c>
    </row>
    <row r="884" spans="1:9" x14ac:dyDescent="0.3">
      <c r="A884">
        <v>303</v>
      </c>
      <c r="B884" s="1">
        <v>44928</v>
      </c>
      <c r="C884" t="s">
        <v>316</v>
      </c>
      <c r="D884" t="s">
        <v>10</v>
      </c>
      <c r="E884">
        <v>19</v>
      </c>
      <c r="F884" t="s">
        <v>16</v>
      </c>
      <c r="G884">
        <v>3</v>
      </c>
      <c r="H884">
        <v>30</v>
      </c>
      <c r="I884">
        <v>90</v>
      </c>
    </row>
    <row r="885" spans="1:9" x14ac:dyDescent="0.3">
      <c r="A885">
        <v>317</v>
      </c>
      <c r="B885" s="1">
        <v>44956</v>
      </c>
      <c r="C885" t="s">
        <v>330</v>
      </c>
      <c r="D885" t="s">
        <v>10</v>
      </c>
      <c r="E885">
        <v>22</v>
      </c>
      <c r="F885" t="s">
        <v>16</v>
      </c>
      <c r="G885">
        <v>3</v>
      </c>
      <c r="H885">
        <v>30</v>
      </c>
      <c r="I885">
        <v>90</v>
      </c>
    </row>
    <row r="886" spans="1:9" x14ac:dyDescent="0.3">
      <c r="A886">
        <v>331</v>
      </c>
      <c r="B886" s="1">
        <v>44968</v>
      </c>
      <c r="C886" t="s">
        <v>344</v>
      </c>
      <c r="D886" t="s">
        <v>10</v>
      </c>
      <c r="E886">
        <v>28</v>
      </c>
      <c r="F886" t="s">
        <v>16</v>
      </c>
      <c r="G886">
        <v>3</v>
      </c>
      <c r="H886">
        <v>30</v>
      </c>
      <c r="I886">
        <v>90</v>
      </c>
    </row>
    <row r="887" spans="1:9" x14ac:dyDescent="0.3">
      <c r="A887">
        <v>643</v>
      </c>
      <c r="B887" s="1">
        <v>45193</v>
      </c>
      <c r="C887" t="s">
        <v>656</v>
      </c>
      <c r="D887" t="s">
        <v>13</v>
      </c>
      <c r="E887">
        <v>28</v>
      </c>
      <c r="F887" t="s">
        <v>16</v>
      </c>
      <c r="G887">
        <v>3</v>
      </c>
      <c r="H887">
        <v>30</v>
      </c>
      <c r="I887">
        <v>90</v>
      </c>
    </row>
    <row r="888" spans="1:9" x14ac:dyDescent="0.3">
      <c r="A888">
        <v>73</v>
      </c>
      <c r="B888" s="1">
        <v>45159</v>
      </c>
      <c r="C888" t="s">
        <v>86</v>
      </c>
      <c r="D888" t="s">
        <v>10</v>
      </c>
      <c r="E888">
        <v>29</v>
      </c>
      <c r="F888" t="s">
        <v>16</v>
      </c>
      <c r="G888">
        <v>3</v>
      </c>
      <c r="H888">
        <v>30</v>
      </c>
      <c r="I888">
        <v>90</v>
      </c>
    </row>
    <row r="889" spans="1:9" x14ac:dyDescent="0.3">
      <c r="A889">
        <v>913</v>
      </c>
      <c r="B889" s="1">
        <v>44954</v>
      </c>
      <c r="C889" t="s">
        <v>926</v>
      </c>
      <c r="D889" t="s">
        <v>10</v>
      </c>
      <c r="E889">
        <v>29</v>
      </c>
      <c r="F889" t="s">
        <v>16</v>
      </c>
      <c r="G889">
        <v>3</v>
      </c>
      <c r="H889">
        <v>30</v>
      </c>
      <c r="I889">
        <v>90</v>
      </c>
    </row>
    <row r="890" spans="1:9" x14ac:dyDescent="0.3">
      <c r="A890">
        <v>84</v>
      </c>
      <c r="B890" s="1">
        <v>45258</v>
      </c>
      <c r="C890" t="s">
        <v>97</v>
      </c>
      <c r="D890" t="s">
        <v>13</v>
      </c>
      <c r="E890">
        <v>38</v>
      </c>
      <c r="F890" t="s">
        <v>16</v>
      </c>
      <c r="G890">
        <v>3</v>
      </c>
      <c r="H890">
        <v>30</v>
      </c>
      <c r="I890">
        <v>90</v>
      </c>
    </row>
    <row r="891" spans="1:9" x14ac:dyDescent="0.3">
      <c r="A891">
        <v>918</v>
      </c>
      <c r="B891" s="1">
        <v>45253</v>
      </c>
      <c r="C891" t="s">
        <v>931</v>
      </c>
      <c r="D891" t="s">
        <v>13</v>
      </c>
      <c r="E891">
        <v>42</v>
      </c>
      <c r="F891" t="s">
        <v>16</v>
      </c>
      <c r="G891">
        <v>3</v>
      </c>
      <c r="H891">
        <v>30</v>
      </c>
      <c r="I891">
        <v>90</v>
      </c>
    </row>
    <row r="892" spans="1:9" x14ac:dyDescent="0.3">
      <c r="A892">
        <v>293</v>
      </c>
      <c r="B892" s="1">
        <v>45048</v>
      </c>
      <c r="C892" t="s">
        <v>306</v>
      </c>
      <c r="D892" t="s">
        <v>10</v>
      </c>
      <c r="E892">
        <v>50</v>
      </c>
      <c r="F892" t="s">
        <v>16</v>
      </c>
      <c r="G892">
        <v>3</v>
      </c>
      <c r="H892">
        <v>30</v>
      </c>
      <c r="I892">
        <v>90</v>
      </c>
    </row>
    <row r="893" spans="1:9" x14ac:dyDescent="0.3">
      <c r="A893">
        <v>219</v>
      </c>
      <c r="B893" s="1">
        <v>45158</v>
      </c>
      <c r="C893" t="s">
        <v>232</v>
      </c>
      <c r="D893" t="s">
        <v>13</v>
      </c>
      <c r="E893">
        <v>53</v>
      </c>
      <c r="F893" t="s">
        <v>16</v>
      </c>
      <c r="G893">
        <v>3</v>
      </c>
      <c r="H893">
        <v>30</v>
      </c>
      <c r="I893">
        <v>90</v>
      </c>
    </row>
    <row r="894" spans="1:9" x14ac:dyDescent="0.3">
      <c r="A894">
        <v>631</v>
      </c>
      <c r="B894" s="1">
        <v>45240</v>
      </c>
      <c r="C894" t="s">
        <v>644</v>
      </c>
      <c r="D894" t="s">
        <v>10</v>
      </c>
      <c r="E894">
        <v>56</v>
      </c>
      <c r="F894" t="s">
        <v>16</v>
      </c>
      <c r="G894">
        <v>3</v>
      </c>
      <c r="H894">
        <v>30</v>
      </c>
      <c r="I894">
        <v>90</v>
      </c>
    </row>
    <row r="895" spans="1:9" x14ac:dyDescent="0.3">
      <c r="A895">
        <v>812</v>
      </c>
      <c r="B895" s="1">
        <v>45242</v>
      </c>
      <c r="C895" t="s">
        <v>825</v>
      </c>
      <c r="D895" t="s">
        <v>10</v>
      </c>
      <c r="E895">
        <v>19</v>
      </c>
      <c r="F895" t="s">
        <v>16</v>
      </c>
      <c r="G895">
        <v>3</v>
      </c>
      <c r="H895">
        <v>25</v>
      </c>
      <c r="I895">
        <v>75</v>
      </c>
    </row>
    <row r="896" spans="1:9" x14ac:dyDescent="0.3">
      <c r="A896">
        <v>241</v>
      </c>
      <c r="B896" s="1">
        <v>45190</v>
      </c>
      <c r="C896" t="s">
        <v>254</v>
      </c>
      <c r="D896" t="s">
        <v>13</v>
      </c>
      <c r="E896">
        <v>23</v>
      </c>
      <c r="F896" t="s">
        <v>16</v>
      </c>
      <c r="G896">
        <v>3</v>
      </c>
      <c r="H896">
        <v>25</v>
      </c>
      <c r="I896">
        <v>75</v>
      </c>
    </row>
    <row r="897" spans="1:9" x14ac:dyDescent="0.3">
      <c r="A897">
        <v>948</v>
      </c>
      <c r="B897" s="1">
        <v>45212</v>
      </c>
      <c r="C897" t="s">
        <v>961</v>
      </c>
      <c r="D897" t="s">
        <v>13</v>
      </c>
      <c r="E897">
        <v>23</v>
      </c>
      <c r="F897" t="s">
        <v>16</v>
      </c>
      <c r="G897">
        <v>3</v>
      </c>
      <c r="H897">
        <v>25</v>
      </c>
      <c r="I897">
        <v>75</v>
      </c>
    </row>
    <row r="898" spans="1:9" x14ac:dyDescent="0.3">
      <c r="A898">
        <v>980</v>
      </c>
      <c r="B898" s="1">
        <v>45136</v>
      </c>
      <c r="C898" t="s">
        <v>993</v>
      </c>
      <c r="D898" t="s">
        <v>13</v>
      </c>
      <c r="E898">
        <v>31</v>
      </c>
      <c r="F898" t="s">
        <v>16</v>
      </c>
      <c r="G898">
        <v>3</v>
      </c>
      <c r="H898">
        <v>25</v>
      </c>
      <c r="I898">
        <v>75</v>
      </c>
    </row>
    <row r="899" spans="1:9" x14ac:dyDescent="0.3">
      <c r="A899">
        <v>977</v>
      </c>
      <c r="B899" s="1">
        <v>44965</v>
      </c>
      <c r="C899" t="s">
        <v>990</v>
      </c>
      <c r="D899" t="s">
        <v>13</v>
      </c>
      <c r="E899">
        <v>35</v>
      </c>
      <c r="F899" t="s">
        <v>16</v>
      </c>
      <c r="G899">
        <v>3</v>
      </c>
      <c r="H899">
        <v>25</v>
      </c>
      <c r="I899">
        <v>75</v>
      </c>
    </row>
    <row r="900" spans="1:9" x14ac:dyDescent="0.3">
      <c r="A900">
        <v>357</v>
      </c>
      <c r="B900" s="1">
        <v>45049</v>
      </c>
      <c r="C900" t="s">
        <v>370</v>
      </c>
      <c r="D900" t="s">
        <v>13</v>
      </c>
      <c r="E900">
        <v>40</v>
      </c>
      <c r="F900" t="s">
        <v>16</v>
      </c>
      <c r="G900">
        <v>3</v>
      </c>
      <c r="H900">
        <v>25</v>
      </c>
      <c r="I900">
        <v>75</v>
      </c>
    </row>
    <row r="901" spans="1:9" x14ac:dyDescent="0.3">
      <c r="A901">
        <v>552</v>
      </c>
      <c r="B901" s="1">
        <v>45273</v>
      </c>
      <c r="C901" t="s">
        <v>565</v>
      </c>
      <c r="D901" t="s">
        <v>13</v>
      </c>
      <c r="E901">
        <v>49</v>
      </c>
      <c r="F901" t="s">
        <v>16</v>
      </c>
      <c r="G901">
        <v>3</v>
      </c>
      <c r="H901">
        <v>25</v>
      </c>
      <c r="I901">
        <v>75</v>
      </c>
    </row>
    <row r="902" spans="1:9" x14ac:dyDescent="0.3">
      <c r="A902">
        <v>921</v>
      </c>
      <c r="B902" s="1">
        <v>44933</v>
      </c>
      <c r="C902" t="s">
        <v>934</v>
      </c>
      <c r="D902" t="s">
        <v>10</v>
      </c>
      <c r="E902">
        <v>51</v>
      </c>
      <c r="F902" t="s">
        <v>16</v>
      </c>
      <c r="G902">
        <v>3</v>
      </c>
      <c r="H902">
        <v>25</v>
      </c>
      <c r="I902">
        <v>75</v>
      </c>
    </row>
    <row r="903" spans="1:9" x14ac:dyDescent="0.3">
      <c r="A903">
        <v>620</v>
      </c>
      <c r="B903" s="1">
        <v>45054</v>
      </c>
      <c r="C903" t="s">
        <v>633</v>
      </c>
      <c r="D903" t="s">
        <v>10</v>
      </c>
      <c r="E903">
        <v>63</v>
      </c>
      <c r="F903" t="s">
        <v>16</v>
      </c>
      <c r="G903">
        <v>3</v>
      </c>
      <c r="H903">
        <v>25</v>
      </c>
      <c r="I903">
        <v>75</v>
      </c>
    </row>
    <row r="904" spans="1:9" x14ac:dyDescent="0.3">
      <c r="A904">
        <v>266</v>
      </c>
      <c r="B904" s="1">
        <v>45261</v>
      </c>
      <c r="C904" t="s">
        <v>279</v>
      </c>
      <c r="D904" t="s">
        <v>13</v>
      </c>
      <c r="E904">
        <v>19</v>
      </c>
      <c r="F904" t="s">
        <v>16</v>
      </c>
      <c r="G904">
        <v>2</v>
      </c>
      <c r="H904">
        <v>30</v>
      </c>
      <c r="I904">
        <v>60</v>
      </c>
    </row>
    <row r="905" spans="1:9" x14ac:dyDescent="0.3">
      <c r="A905">
        <v>370</v>
      </c>
      <c r="B905" s="1">
        <v>45215</v>
      </c>
      <c r="C905" t="s">
        <v>383</v>
      </c>
      <c r="D905" t="s">
        <v>10</v>
      </c>
      <c r="E905">
        <v>23</v>
      </c>
      <c r="F905" t="s">
        <v>16</v>
      </c>
      <c r="G905">
        <v>2</v>
      </c>
      <c r="H905">
        <v>30</v>
      </c>
      <c r="I905">
        <v>60</v>
      </c>
    </row>
    <row r="906" spans="1:9" x14ac:dyDescent="0.3">
      <c r="A906">
        <v>981</v>
      </c>
      <c r="B906" s="1">
        <v>45157</v>
      </c>
      <c r="C906" t="s">
        <v>994</v>
      </c>
      <c r="D906" t="s">
        <v>13</v>
      </c>
      <c r="E906">
        <v>30</v>
      </c>
      <c r="F906" t="s">
        <v>16</v>
      </c>
      <c r="G906">
        <v>2</v>
      </c>
      <c r="H906">
        <v>30</v>
      </c>
      <c r="I906">
        <v>60</v>
      </c>
    </row>
    <row r="907" spans="1:9" x14ac:dyDescent="0.3">
      <c r="A907">
        <v>593</v>
      </c>
      <c r="B907" s="1">
        <v>45052</v>
      </c>
      <c r="C907" t="s">
        <v>606</v>
      </c>
      <c r="D907" t="s">
        <v>10</v>
      </c>
      <c r="E907">
        <v>35</v>
      </c>
      <c r="F907" t="s">
        <v>16</v>
      </c>
      <c r="G907">
        <v>2</v>
      </c>
      <c r="H907">
        <v>30</v>
      </c>
      <c r="I907">
        <v>60</v>
      </c>
    </row>
    <row r="908" spans="1:9" x14ac:dyDescent="0.3">
      <c r="A908">
        <v>304</v>
      </c>
      <c r="B908" s="1">
        <v>45126</v>
      </c>
      <c r="C908" t="s">
        <v>317</v>
      </c>
      <c r="D908" t="s">
        <v>13</v>
      </c>
      <c r="E908">
        <v>37</v>
      </c>
      <c r="F908" t="s">
        <v>16</v>
      </c>
      <c r="G908">
        <v>2</v>
      </c>
      <c r="H908">
        <v>30</v>
      </c>
      <c r="I908">
        <v>60</v>
      </c>
    </row>
    <row r="909" spans="1:9" x14ac:dyDescent="0.3">
      <c r="A909">
        <v>588</v>
      </c>
      <c r="B909" s="1">
        <v>45042</v>
      </c>
      <c r="C909" t="s">
        <v>601</v>
      </c>
      <c r="D909" t="s">
        <v>10</v>
      </c>
      <c r="E909">
        <v>38</v>
      </c>
      <c r="F909" t="s">
        <v>16</v>
      </c>
      <c r="G909">
        <v>2</v>
      </c>
      <c r="H909">
        <v>30</v>
      </c>
      <c r="I909">
        <v>60</v>
      </c>
    </row>
    <row r="910" spans="1:9" x14ac:dyDescent="0.3">
      <c r="A910">
        <v>501</v>
      </c>
      <c r="B910" s="1">
        <v>45060</v>
      </c>
      <c r="C910" t="s">
        <v>514</v>
      </c>
      <c r="D910" t="s">
        <v>10</v>
      </c>
      <c r="E910">
        <v>39</v>
      </c>
      <c r="F910" t="s">
        <v>16</v>
      </c>
      <c r="G910">
        <v>2</v>
      </c>
      <c r="H910">
        <v>30</v>
      </c>
      <c r="I910">
        <v>60</v>
      </c>
    </row>
    <row r="911" spans="1:9" x14ac:dyDescent="0.3">
      <c r="A911">
        <v>123</v>
      </c>
      <c r="B911" s="1">
        <v>45061</v>
      </c>
      <c r="C911" t="s">
        <v>136</v>
      </c>
      <c r="D911" t="s">
        <v>13</v>
      </c>
      <c r="E911">
        <v>40</v>
      </c>
      <c r="F911" t="s">
        <v>16</v>
      </c>
      <c r="G911">
        <v>2</v>
      </c>
      <c r="H911">
        <v>30</v>
      </c>
      <c r="I911">
        <v>60</v>
      </c>
    </row>
    <row r="912" spans="1:9" x14ac:dyDescent="0.3">
      <c r="A912">
        <v>247</v>
      </c>
      <c r="B912" s="1">
        <v>45203</v>
      </c>
      <c r="C912" t="s">
        <v>260</v>
      </c>
      <c r="D912" t="s">
        <v>10</v>
      </c>
      <c r="E912">
        <v>41</v>
      </c>
      <c r="F912" t="s">
        <v>16</v>
      </c>
      <c r="G912">
        <v>2</v>
      </c>
      <c r="H912">
        <v>30</v>
      </c>
      <c r="I912">
        <v>60</v>
      </c>
    </row>
    <row r="913" spans="1:9" x14ac:dyDescent="0.3">
      <c r="A913">
        <v>959</v>
      </c>
      <c r="B913" s="1">
        <v>45228</v>
      </c>
      <c r="C913" t="s">
        <v>972</v>
      </c>
      <c r="D913" t="s">
        <v>13</v>
      </c>
      <c r="E913">
        <v>42</v>
      </c>
      <c r="F913" t="s">
        <v>16</v>
      </c>
      <c r="G913">
        <v>2</v>
      </c>
      <c r="H913">
        <v>30</v>
      </c>
      <c r="I913">
        <v>60</v>
      </c>
    </row>
    <row r="914" spans="1:9" x14ac:dyDescent="0.3">
      <c r="A914">
        <v>681</v>
      </c>
      <c r="B914" s="1">
        <v>45121</v>
      </c>
      <c r="C914" t="s">
        <v>694</v>
      </c>
      <c r="D914" t="s">
        <v>13</v>
      </c>
      <c r="E914">
        <v>43</v>
      </c>
      <c r="F914" t="s">
        <v>16</v>
      </c>
      <c r="G914">
        <v>2</v>
      </c>
      <c r="H914">
        <v>30</v>
      </c>
      <c r="I914">
        <v>60</v>
      </c>
    </row>
    <row r="915" spans="1:9" x14ac:dyDescent="0.3">
      <c r="A915">
        <v>289</v>
      </c>
      <c r="B915" s="1">
        <v>45260</v>
      </c>
      <c r="C915" t="s">
        <v>302</v>
      </c>
      <c r="D915" t="s">
        <v>10</v>
      </c>
      <c r="E915">
        <v>53</v>
      </c>
      <c r="F915" t="s">
        <v>16</v>
      </c>
      <c r="G915">
        <v>2</v>
      </c>
      <c r="H915">
        <v>30</v>
      </c>
      <c r="I915">
        <v>60</v>
      </c>
    </row>
    <row r="916" spans="1:9" x14ac:dyDescent="0.3">
      <c r="A916">
        <v>456</v>
      </c>
      <c r="B916" s="1">
        <v>45213</v>
      </c>
      <c r="C916" t="s">
        <v>469</v>
      </c>
      <c r="D916" t="s">
        <v>10</v>
      </c>
      <c r="E916">
        <v>57</v>
      </c>
      <c r="F916" t="s">
        <v>16</v>
      </c>
      <c r="G916">
        <v>2</v>
      </c>
      <c r="H916">
        <v>30</v>
      </c>
      <c r="I916">
        <v>60</v>
      </c>
    </row>
    <row r="917" spans="1:9" x14ac:dyDescent="0.3">
      <c r="A917">
        <v>992</v>
      </c>
      <c r="B917" s="1">
        <v>45159</v>
      </c>
      <c r="C917" t="s">
        <v>1005</v>
      </c>
      <c r="D917" t="s">
        <v>13</v>
      </c>
      <c r="E917">
        <v>57</v>
      </c>
      <c r="F917" t="s">
        <v>16</v>
      </c>
      <c r="G917">
        <v>2</v>
      </c>
      <c r="H917">
        <v>30</v>
      </c>
      <c r="I917">
        <v>60</v>
      </c>
    </row>
    <row r="918" spans="1:9" x14ac:dyDescent="0.3">
      <c r="A918">
        <v>228</v>
      </c>
      <c r="B918" s="1">
        <v>45044</v>
      </c>
      <c r="C918" t="s">
        <v>241</v>
      </c>
      <c r="D918" t="s">
        <v>13</v>
      </c>
      <c r="E918">
        <v>59</v>
      </c>
      <c r="F918" t="s">
        <v>16</v>
      </c>
      <c r="G918">
        <v>2</v>
      </c>
      <c r="H918">
        <v>30</v>
      </c>
      <c r="I918">
        <v>60</v>
      </c>
    </row>
    <row r="919" spans="1:9" x14ac:dyDescent="0.3">
      <c r="A919">
        <v>556</v>
      </c>
      <c r="B919" s="1">
        <v>45081</v>
      </c>
      <c r="C919" t="s">
        <v>569</v>
      </c>
      <c r="D919" t="s">
        <v>13</v>
      </c>
      <c r="E919">
        <v>18</v>
      </c>
      <c r="F919" t="s">
        <v>16</v>
      </c>
      <c r="G919">
        <v>1</v>
      </c>
      <c r="H919">
        <v>50</v>
      </c>
      <c r="I919">
        <v>50</v>
      </c>
    </row>
    <row r="920" spans="1:9" x14ac:dyDescent="0.3">
      <c r="A920">
        <v>985</v>
      </c>
      <c r="B920" s="1">
        <v>45076</v>
      </c>
      <c r="C920" t="s">
        <v>998</v>
      </c>
      <c r="D920" t="s">
        <v>13</v>
      </c>
      <c r="E920">
        <v>19</v>
      </c>
      <c r="F920" t="s">
        <v>16</v>
      </c>
      <c r="G920">
        <v>2</v>
      </c>
      <c r="H920">
        <v>25</v>
      </c>
      <c r="I920">
        <v>50</v>
      </c>
    </row>
    <row r="921" spans="1:9" x14ac:dyDescent="0.3">
      <c r="A921">
        <v>892</v>
      </c>
      <c r="B921" s="1">
        <v>45025</v>
      </c>
      <c r="C921" t="s">
        <v>905</v>
      </c>
      <c r="D921" t="s">
        <v>10</v>
      </c>
      <c r="E921">
        <v>20</v>
      </c>
      <c r="F921" t="s">
        <v>16</v>
      </c>
      <c r="G921">
        <v>1</v>
      </c>
      <c r="H921">
        <v>50</v>
      </c>
      <c r="I921">
        <v>50</v>
      </c>
    </row>
    <row r="922" spans="1:9" x14ac:dyDescent="0.3">
      <c r="A922">
        <v>343</v>
      </c>
      <c r="B922" s="1">
        <v>45231</v>
      </c>
      <c r="C922" t="s">
        <v>356</v>
      </c>
      <c r="D922" t="s">
        <v>10</v>
      </c>
      <c r="E922">
        <v>21</v>
      </c>
      <c r="F922" t="s">
        <v>16</v>
      </c>
      <c r="G922">
        <v>2</v>
      </c>
      <c r="H922">
        <v>25</v>
      </c>
      <c r="I922">
        <v>50</v>
      </c>
    </row>
    <row r="923" spans="1:9" x14ac:dyDescent="0.3">
      <c r="A923">
        <v>446</v>
      </c>
      <c r="B923" s="1">
        <v>45084</v>
      </c>
      <c r="C923" t="s">
        <v>459</v>
      </c>
      <c r="D923" t="s">
        <v>10</v>
      </c>
      <c r="E923">
        <v>21</v>
      </c>
      <c r="F923" t="s">
        <v>16</v>
      </c>
      <c r="G923">
        <v>1</v>
      </c>
      <c r="H923">
        <v>50</v>
      </c>
      <c r="I923">
        <v>50</v>
      </c>
    </row>
    <row r="924" spans="1:9" x14ac:dyDescent="0.3">
      <c r="A924">
        <v>141</v>
      </c>
      <c r="B924" s="1">
        <v>45232</v>
      </c>
      <c r="C924" t="s">
        <v>154</v>
      </c>
      <c r="D924" t="s">
        <v>13</v>
      </c>
      <c r="E924">
        <v>22</v>
      </c>
      <c r="F924" t="s">
        <v>16</v>
      </c>
      <c r="G924">
        <v>1</v>
      </c>
      <c r="H924">
        <v>50</v>
      </c>
      <c r="I924">
        <v>50</v>
      </c>
    </row>
    <row r="925" spans="1:9" x14ac:dyDescent="0.3">
      <c r="A925">
        <v>339</v>
      </c>
      <c r="B925" s="1">
        <v>44988</v>
      </c>
      <c r="C925" t="s">
        <v>352</v>
      </c>
      <c r="D925" t="s">
        <v>13</v>
      </c>
      <c r="E925">
        <v>22</v>
      </c>
      <c r="F925" t="s">
        <v>16</v>
      </c>
      <c r="G925">
        <v>2</v>
      </c>
      <c r="H925">
        <v>25</v>
      </c>
      <c r="I925">
        <v>50</v>
      </c>
    </row>
    <row r="926" spans="1:9" x14ac:dyDescent="0.3">
      <c r="A926">
        <v>606</v>
      </c>
      <c r="B926" s="1">
        <v>45051</v>
      </c>
      <c r="C926" t="s">
        <v>619</v>
      </c>
      <c r="D926" t="s">
        <v>10</v>
      </c>
      <c r="E926">
        <v>22</v>
      </c>
      <c r="F926" t="s">
        <v>16</v>
      </c>
      <c r="G926">
        <v>1</v>
      </c>
      <c r="H926">
        <v>50</v>
      </c>
      <c r="I926">
        <v>50</v>
      </c>
    </row>
    <row r="927" spans="1:9" x14ac:dyDescent="0.3">
      <c r="A927">
        <v>762</v>
      </c>
      <c r="B927" s="1">
        <v>45237</v>
      </c>
      <c r="C927" t="s">
        <v>775</v>
      </c>
      <c r="D927" t="s">
        <v>13</v>
      </c>
      <c r="E927">
        <v>24</v>
      </c>
      <c r="F927" t="s">
        <v>16</v>
      </c>
      <c r="G927">
        <v>2</v>
      </c>
      <c r="H927">
        <v>25</v>
      </c>
      <c r="I927">
        <v>50</v>
      </c>
    </row>
    <row r="928" spans="1:9" x14ac:dyDescent="0.3">
      <c r="A928">
        <v>771</v>
      </c>
      <c r="B928" s="1">
        <v>45273</v>
      </c>
      <c r="C928" t="s">
        <v>784</v>
      </c>
      <c r="D928" t="s">
        <v>10</v>
      </c>
      <c r="E928">
        <v>24</v>
      </c>
      <c r="F928" t="s">
        <v>16</v>
      </c>
      <c r="G928">
        <v>2</v>
      </c>
      <c r="H928">
        <v>25</v>
      </c>
      <c r="I928">
        <v>50</v>
      </c>
    </row>
    <row r="929" spans="1:9" x14ac:dyDescent="0.3">
      <c r="A929">
        <v>866</v>
      </c>
      <c r="B929" s="1">
        <v>45051</v>
      </c>
      <c r="C929" t="s">
        <v>879</v>
      </c>
      <c r="D929" t="s">
        <v>10</v>
      </c>
      <c r="E929">
        <v>24</v>
      </c>
      <c r="F929" t="s">
        <v>16</v>
      </c>
      <c r="G929">
        <v>1</v>
      </c>
      <c r="H929">
        <v>50</v>
      </c>
      <c r="I929">
        <v>50</v>
      </c>
    </row>
    <row r="930" spans="1:9" x14ac:dyDescent="0.3">
      <c r="A930">
        <v>560</v>
      </c>
      <c r="B930" s="1">
        <v>45082</v>
      </c>
      <c r="C930" t="s">
        <v>573</v>
      </c>
      <c r="D930" t="s">
        <v>13</v>
      </c>
      <c r="E930">
        <v>25</v>
      </c>
      <c r="F930" t="s">
        <v>16</v>
      </c>
      <c r="G930">
        <v>1</v>
      </c>
      <c r="H930">
        <v>50</v>
      </c>
      <c r="I930">
        <v>50</v>
      </c>
    </row>
    <row r="931" spans="1:9" x14ac:dyDescent="0.3">
      <c r="A931">
        <v>307</v>
      </c>
      <c r="B931" s="1">
        <v>45073</v>
      </c>
      <c r="C931" t="s">
        <v>320</v>
      </c>
      <c r="D931" t="s">
        <v>13</v>
      </c>
      <c r="E931">
        <v>26</v>
      </c>
      <c r="F931" t="s">
        <v>16</v>
      </c>
      <c r="G931">
        <v>2</v>
      </c>
      <c r="H931">
        <v>25</v>
      </c>
      <c r="I931">
        <v>50</v>
      </c>
    </row>
    <row r="932" spans="1:9" x14ac:dyDescent="0.3">
      <c r="A932">
        <v>321</v>
      </c>
      <c r="B932" s="1">
        <v>45087</v>
      </c>
      <c r="C932" t="s">
        <v>334</v>
      </c>
      <c r="D932" t="s">
        <v>13</v>
      </c>
      <c r="E932">
        <v>26</v>
      </c>
      <c r="F932" t="s">
        <v>16</v>
      </c>
      <c r="G932">
        <v>2</v>
      </c>
      <c r="H932">
        <v>25</v>
      </c>
      <c r="I932">
        <v>50</v>
      </c>
    </row>
    <row r="933" spans="1:9" x14ac:dyDescent="0.3">
      <c r="A933">
        <v>863</v>
      </c>
      <c r="B933" s="1">
        <v>45040</v>
      </c>
      <c r="C933" t="s">
        <v>876</v>
      </c>
      <c r="D933" t="s">
        <v>13</v>
      </c>
      <c r="E933">
        <v>30</v>
      </c>
      <c r="F933" t="s">
        <v>16</v>
      </c>
      <c r="G933">
        <v>2</v>
      </c>
      <c r="H933">
        <v>25</v>
      </c>
      <c r="I933">
        <v>50</v>
      </c>
    </row>
    <row r="934" spans="1:9" x14ac:dyDescent="0.3">
      <c r="A934">
        <v>896</v>
      </c>
      <c r="B934" s="1">
        <v>45228</v>
      </c>
      <c r="C934" t="s">
        <v>909</v>
      </c>
      <c r="D934" t="s">
        <v>13</v>
      </c>
      <c r="E934">
        <v>30</v>
      </c>
      <c r="F934" t="s">
        <v>16</v>
      </c>
      <c r="G934">
        <v>2</v>
      </c>
      <c r="H934">
        <v>25</v>
      </c>
      <c r="I934">
        <v>50</v>
      </c>
    </row>
    <row r="935" spans="1:9" x14ac:dyDescent="0.3">
      <c r="A935">
        <v>851</v>
      </c>
      <c r="B935" s="1">
        <v>45177</v>
      </c>
      <c r="C935" t="s">
        <v>864</v>
      </c>
      <c r="D935" t="s">
        <v>10</v>
      </c>
      <c r="E935">
        <v>32</v>
      </c>
      <c r="F935" t="s">
        <v>16</v>
      </c>
      <c r="G935">
        <v>2</v>
      </c>
      <c r="H935">
        <v>25</v>
      </c>
      <c r="I935">
        <v>50</v>
      </c>
    </row>
    <row r="936" spans="1:9" x14ac:dyDescent="0.3">
      <c r="A936">
        <v>916</v>
      </c>
      <c r="B936" s="1">
        <v>45284</v>
      </c>
      <c r="C936" t="s">
        <v>929</v>
      </c>
      <c r="D936" t="s">
        <v>13</v>
      </c>
      <c r="E936">
        <v>32</v>
      </c>
      <c r="F936" t="s">
        <v>16</v>
      </c>
      <c r="G936">
        <v>1</v>
      </c>
      <c r="H936">
        <v>50</v>
      </c>
      <c r="I936">
        <v>50</v>
      </c>
    </row>
    <row r="937" spans="1:9" x14ac:dyDescent="0.3">
      <c r="A937">
        <v>890</v>
      </c>
      <c r="B937" s="1">
        <v>45280</v>
      </c>
      <c r="C937" t="s">
        <v>903</v>
      </c>
      <c r="D937" t="s">
        <v>10</v>
      </c>
      <c r="E937">
        <v>34</v>
      </c>
      <c r="F937" t="s">
        <v>16</v>
      </c>
      <c r="G937">
        <v>2</v>
      </c>
      <c r="H937">
        <v>25</v>
      </c>
      <c r="I937">
        <v>50</v>
      </c>
    </row>
    <row r="938" spans="1:9" x14ac:dyDescent="0.3">
      <c r="A938">
        <v>889</v>
      </c>
      <c r="B938" s="1">
        <v>45201</v>
      </c>
      <c r="C938" t="s">
        <v>902</v>
      </c>
      <c r="D938" t="s">
        <v>13</v>
      </c>
      <c r="E938">
        <v>35</v>
      </c>
      <c r="F938" t="s">
        <v>16</v>
      </c>
      <c r="G938">
        <v>1</v>
      </c>
      <c r="H938">
        <v>50</v>
      </c>
      <c r="I938">
        <v>50</v>
      </c>
    </row>
    <row r="939" spans="1:9" x14ac:dyDescent="0.3">
      <c r="A939">
        <v>694</v>
      </c>
      <c r="B939" s="1">
        <v>45066</v>
      </c>
      <c r="C939" t="s">
        <v>707</v>
      </c>
      <c r="D939" t="s">
        <v>13</v>
      </c>
      <c r="E939">
        <v>39</v>
      </c>
      <c r="F939" t="s">
        <v>16</v>
      </c>
      <c r="G939">
        <v>2</v>
      </c>
      <c r="H939">
        <v>25</v>
      </c>
      <c r="I939">
        <v>50</v>
      </c>
    </row>
    <row r="940" spans="1:9" x14ac:dyDescent="0.3">
      <c r="A940">
        <v>81</v>
      </c>
      <c r="B940" s="1">
        <v>45063</v>
      </c>
      <c r="C940" t="s">
        <v>94</v>
      </c>
      <c r="D940" t="s">
        <v>10</v>
      </c>
      <c r="E940">
        <v>40</v>
      </c>
      <c r="F940" t="s">
        <v>16</v>
      </c>
      <c r="G940">
        <v>1</v>
      </c>
      <c r="H940">
        <v>50</v>
      </c>
      <c r="I940">
        <v>50</v>
      </c>
    </row>
    <row r="941" spans="1:9" x14ac:dyDescent="0.3">
      <c r="A941">
        <v>113</v>
      </c>
      <c r="B941" s="1">
        <v>45182</v>
      </c>
      <c r="C941" t="s">
        <v>126</v>
      </c>
      <c r="D941" t="s">
        <v>13</v>
      </c>
      <c r="E941">
        <v>41</v>
      </c>
      <c r="F941" t="s">
        <v>16</v>
      </c>
      <c r="G941">
        <v>2</v>
      </c>
      <c r="H941">
        <v>25</v>
      </c>
      <c r="I941">
        <v>50</v>
      </c>
    </row>
    <row r="942" spans="1:9" x14ac:dyDescent="0.3">
      <c r="A942">
        <v>571</v>
      </c>
      <c r="B942" s="1">
        <v>45272</v>
      </c>
      <c r="C942" t="s">
        <v>584</v>
      </c>
      <c r="D942" t="s">
        <v>13</v>
      </c>
      <c r="E942">
        <v>41</v>
      </c>
      <c r="F942" t="s">
        <v>16</v>
      </c>
      <c r="G942">
        <v>1</v>
      </c>
      <c r="H942">
        <v>50</v>
      </c>
      <c r="I942">
        <v>50</v>
      </c>
    </row>
    <row r="943" spans="1:9" x14ac:dyDescent="0.3">
      <c r="A943">
        <v>922</v>
      </c>
      <c r="B943" s="1">
        <v>45220</v>
      </c>
      <c r="C943" t="s">
        <v>935</v>
      </c>
      <c r="D943" t="s">
        <v>10</v>
      </c>
      <c r="E943">
        <v>41</v>
      </c>
      <c r="F943" t="s">
        <v>16</v>
      </c>
      <c r="G943">
        <v>1</v>
      </c>
      <c r="H943">
        <v>50</v>
      </c>
      <c r="I943">
        <v>50</v>
      </c>
    </row>
    <row r="944" spans="1:9" x14ac:dyDescent="0.3">
      <c r="A944">
        <v>949</v>
      </c>
      <c r="B944" s="1">
        <v>45140</v>
      </c>
      <c r="C944" t="s">
        <v>962</v>
      </c>
      <c r="D944" t="s">
        <v>13</v>
      </c>
      <c r="E944">
        <v>41</v>
      </c>
      <c r="F944" t="s">
        <v>16</v>
      </c>
      <c r="G944">
        <v>2</v>
      </c>
      <c r="H944">
        <v>25</v>
      </c>
      <c r="I944">
        <v>50</v>
      </c>
    </row>
    <row r="945" spans="1:9" x14ac:dyDescent="0.3">
      <c r="A945">
        <v>434</v>
      </c>
      <c r="B945" s="1">
        <v>44965</v>
      </c>
      <c r="C945" t="s">
        <v>447</v>
      </c>
      <c r="D945" t="s">
        <v>13</v>
      </c>
      <c r="E945">
        <v>43</v>
      </c>
      <c r="F945" t="s">
        <v>16</v>
      </c>
      <c r="G945">
        <v>2</v>
      </c>
      <c r="H945">
        <v>25</v>
      </c>
      <c r="I945">
        <v>50</v>
      </c>
    </row>
    <row r="946" spans="1:9" x14ac:dyDescent="0.3">
      <c r="A946">
        <v>18</v>
      </c>
      <c r="B946" s="1">
        <v>45046</v>
      </c>
      <c r="C946" t="s">
        <v>31</v>
      </c>
      <c r="D946" t="s">
        <v>13</v>
      </c>
      <c r="E946">
        <v>47</v>
      </c>
      <c r="F946" t="s">
        <v>16</v>
      </c>
      <c r="G946">
        <v>2</v>
      </c>
      <c r="H946">
        <v>25</v>
      </c>
      <c r="I946">
        <v>50</v>
      </c>
    </row>
    <row r="947" spans="1:9" x14ac:dyDescent="0.3">
      <c r="A947">
        <v>246</v>
      </c>
      <c r="B947" s="1">
        <v>45036</v>
      </c>
      <c r="C947" t="s">
        <v>259</v>
      </c>
      <c r="D947" t="s">
        <v>13</v>
      </c>
      <c r="E947">
        <v>48</v>
      </c>
      <c r="F947" t="s">
        <v>16</v>
      </c>
      <c r="G947">
        <v>2</v>
      </c>
      <c r="H947">
        <v>25</v>
      </c>
      <c r="I947">
        <v>50</v>
      </c>
    </row>
    <row r="948" spans="1:9" x14ac:dyDescent="0.3">
      <c r="A948">
        <v>250</v>
      </c>
      <c r="B948" s="1">
        <v>45222</v>
      </c>
      <c r="C948" t="s">
        <v>263</v>
      </c>
      <c r="D948" t="s">
        <v>10</v>
      </c>
      <c r="E948">
        <v>48</v>
      </c>
      <c r="F948" t="s">
        <v>16</v>
      </c>
      <c r="G948">
        <v>1</v>
      </c>
      <c r="H948">
        <v>50</v>
      </c>
      <c r="I948">
        <v>50</v>
      </c>
    </row>
    <row r="949" spans="1:9" x14ac:dyDescent="0.3">
      <c r="A949">
        <v>134</v>
      </c>
      <c r="B949" s="1">
        <v>44951</v>
      </c>
      <c r="C949" t="s">
        <v>147</v>
      </c>
      <c r="D949" t="s">
        <v>10</v>
      </c>
      <c r="E949">
        <v>49</v>
      </c>
      <c r="F949" t="s">
        <v>16</v>
      </c>
      <c r="G949">
        <v>1</v>
      </c>
      <c r="H949">
        <v>50</v>
      </c>
      <c r="I949">
        <v>50</v>
      </c>
    </row>
    <row r="950" spans="1:9" x14ac:dyDescent="0.3">
      <c r="A950">
        <v>893</v>
      </c>
      <c r="B950" s="1">
        <v>45037</v>
      </c>
      <c r="C950" t="s">
        <v>906</v>
      </c>
      <c r="D950" t="s">
        <v>10</v>
      </c>
      <c r="E950">
        <v>49</v>
      </c>
      <c r="F950" t="s">
        <v>16</v>
      </c>
      <c r="G950">
        <v>1</v>
      </c>
      <c r="H950">
        <v>50</v>
      </c>
      <c r="I950">
        <v>50</v>
      </c>
    </row>
    <row r="951" spans="1:9" x14ac:dyDescent="0.3">
      <c r="A951">
        <v>586</v>
      </c>
      <c r="B951" s="1">
        <v>45271</v>
      </c>
      <c r="C951" t="s">
        <v>599</v>
      </c>
      <c r="D951" t="s">
        <v>10</v>
      </c>
      <c r="E951">
        <v>50</v>
      </c>
      <c r="F951" t="s">
        <v>16</v>
      </c>
      <c r="G951">
        <v>1</v>
      </c>
      <c r="H951">
        <v>50</v>
      </c>
      <c r="I951">
        <v>50</v>
      </c>
    </row>
    <row r="952" spans="1:9" x14ac:dyDescent="0.3">
      <c r="A952">
        <v>325</v>
      </c>
      <c r="B952" s="1">
        <v>45171</v>
      </c>
      <c r="C952" t="s">
        <v>338</v>
      </c>
      <c r="D952" t="s">
        <v>13</v>
      </c>
      <c r="E952">
        <v>52</v>
      </c>
      <c r="F952" t="s">
        <v>16</v>
      </c>
      <c r="G952">
        <v>2</v>
      </c>
      <c r="H952">
        <v>25</v>
      </c>
      <c r="I952">
        <v>50</v>
      </c>
    </row>
    <row r="953" spans="1:9" x14ac:dyDescent="0.3">
      <c r="A953">
        <v>780</v>
      </c>
      <c r="B953" s="1">
        <v>44979</v>
      </c>
      <c r="C953" t="s">
        <v>793</v>
      </c>
      <c r="D953" t="s">
        <v>10</v>
      </c>
      <c r="E953">
        <v>52</v>
      </c>
      <c r="F953" t="s">
        <v>16</v>
      </c>
      <c r="G953">
        <v>2</v>
      </c>
      <c r="H953">
        <v>25</v>
      </c>
      <c r="I953">
        <v>50</v>
      </c>
    </row>
    <row r="954" spans="1:9" x14ac:dyDescent="0.3">
      <c r="A954">
        <v>306</v>
      </c>
      <c r="B954" s="1">
        <v>45159</v>
      </c>
      <c r="C954" t="s">
        <v>319</v>
      </c>
      <c r="D954" t="s">
        <v>10</v>
      </c>
      <c r="E954">
        <v>54</v>
      </c>
      <c r="F954" t="s">
        <v>16</v>
      </c>
      <c r="G954">
        <v>1</v>
      </c>
      <c r="H954">
        <v>50</v>
      </c>
      <c r="I954">
        <v>50</v>
      </c>
    </row>
    <row r="955" spans="1:9" x14ac:dyDescent="0.3">
      <c r="A955">
        <v>562</v>
      </c>
      <c r="B955" s="1">
        <v>45034</v>
      </c>
      <c r="C955" t="s">
        <v>575</v>
      </c>
      <c r="D955" t="s">
        <v>10</v>
      </c>
      <c r="E955">
        <v>54</v>
      </c>
      <c r="F955" t="s">
        <v>16</v>
      </c>
      <c r="G955">
        <v>2</v>
      </c>
      <c r="H955">
        <v>25</v>
      </c>
      <c r="I955">
        <v>50</v>
      </c>
    </row>
    <row r="956" spans="1:9" x14ac:dyDescent="0.3">
      <c r="A956">
        <v>286</v>
      </c>
      <c r="B956" s="1">
        <v>45208</v>
      </c>
      <c r="C956" t="s">
        <v>299</v>
      </c>
      <c r="D956" t="s">
        <v>10</v>
      </c>
      <c r="E956">
        <v>55</v>
      </c>
      <c r="F956" t="s">
        <v>16</v>
      </c>
      <c r="G956">
        <v>2</v>
      </c>
      <c r="H956">
        <v>25</v>
      </c>
      <c r="I956">
        <v>50</v>
      </c>
    </row>
    <row r="957" spans="1:9" x14ac:dyDescent="0.3">
      <c r="A957">
        <v>63</v>
      </c>
      <c r="B957" s="1">
        <v>44962</v>
      </c>
      <c r="C957" t="s">
        <v>76</v>
      </c>
      <c r="D957" t="s">
        <v>10</v>
      </c>
      <c r="E957">
        <v>57</v>
      </c>
      <c r="F957" t="s">
        <v>16</v>
      </c>
      <c r="G957">
        <v>2</v>
      </c>
      <c r="H957">
        <v>25</v>
      </c>
      <c r="I957">
        <v>50</v>
      </c>
    </row>
    <row r="958" spans="1:9" x14ac:dyDescent="0.3">
      <c r="A958">
        <v>367</v>
      </c>
      <c r="B958" s="1">
        <v>44931</v>
      </c>
      <c r="C958" t="s">
        <v>380</v>
      </c>
      <c r="D958" t="s">
        <v>13</v>
      </c>
      <c r="E958">
        <v>57</v>
      </c>
      <c r="F958" t="s">
        <v>16</v>
      </c>
      <c r="G958">
        <v>1</v>
      </c>
      <c r="H958">
        <v>50</v>
      </c>
      <c r="I958">
        <v>50</v>
      </c>
    </row>
    <row r="959" spans="1:9" x14ac:dyDescent="0.3">
      <c r="A959">
        <v>685</v>
      </c>
      <c r="B959" s="1">
        <v>45079</v>
      </c>
      <c r="C959" t="s">
        <v>698</v>
      </c>
      <c r="D959" t="s">
        <v>10</v>
      </c>
      <c r="E959">
        <v>57</v>
      </c>
      <c r="F959" t="s">
        <v>16</v>
      </c>
      <c r="G959">
        <v>2</v>
      </c>
      <c r="H959">
        <v>25</v>
      </c>
      <c r="I959">
        <v>50</v>
      </c>
    </row>
    <row r="960" spans="1:9" x14ac:dyDescent="0.3">
      <c r="A960">
        <v>705</v>
      </c>
      <c r="B960" s="1">
        <v>44992</v>
      </c>
      <c r="C960" t="s">
        <v>718</v>
      </c>
      <c r="D960" t="s">
        <v>10</v>
      </c>
      <c r="E960">
        <v>60</v>
      </c>
      <c r="F960" t="s">
        <v>16</v>
      </c>
      <c r="G960">
        <v>2</v>
      </c>
      <c r="H960">
        <v>25</v>
      </c>
      <c r="I960">
        <v>50</v>
      </c>
    </row>
    <row r="961" spans="1:9" x14ac:dyDescent="0.3">
      <c r="A961">
        <v>857</v>
      </c>
      <c r="B961" s="1">
        <v>45291</v>
      </c>
      <c r="C961" t="s">
        <v>870</v>
      </c>
      <c r="D961" t="s">
        <v>10</v>
      </c>
      <c r="E961">
        <v>60</v>
      </c>
      <c r="F961" t="s">
        <v>16</v>
      </c>
      <c r="G961">
        <v>2</v>
      </c>
      <c r="H961">
        <v>25</v>
      </c>
      <c r="I961">
        <v>50</v>
      </c>
    </row>
    <row r="962" spans="1:9" x14ac:dyDescent="0.3">
      <c r="A962">
        <v>234</v>
      </c>
      <c r="B962" s="1">
        <v>45250</v>
      </c>
      <c r="C962" t="s">
        <v>247</v>
      </c>
      <c r="D962" t="s">
        <v>13</v>
      </c>
      <c r="E962">
        <v>62</v>
      </c>
      <c r="F962" t="s">
        <v>16</v>
      </c>
      <c r="G962">
        <v>2</v>
      </c>
      <c r="H962">
        <v>25</v>
      </c>
      <c r="I962">
        <v>50</v>
      </c>
    </row>
    <row r="963" spans="1:9" x14ac:dyDescent="0.3">
      <c r="A963">
        <v>629</v>
      </c>
      <c r="B963" s="1">
        <v>45089</v>
      </c>
      <c r="C963" t="s">
        <v>642</v>
      </c>
      <c r="D963" t="s">
        <v>10</v>
      </c>
      <c r="E963">
        <v>62</v>
      </c>
      <c r="F963" t="s">
        <v>16</v>
      </c>
      <c r="G963">
        <v>2</v>
      </c>
      <c r="H963">
        <v>25</v>
      </c>
      <c r="I963">
        <v>50</v>
      </c>
    </row>
    <row r="964" spans="1:9" x14ac:dyDescent="0.3">
      <c r="A964">
        <v>958</v>
      </c>
      <c r="B964" s="1">
        <v>45079</v>
      </c>
      <c r="C964" t="s">
        <v>971</v>
      </c>
      <c r="D964" t="s">
        <v>10</v>
      </c>
      <c r="E964">
        <v>62</v>
      </c>
      <c r="F964" t="s">
        <v>16</v>
      </c>
      <c r="G964">
        <v>2</v>
      </c>
      <c r="H964">
        <v>25</v>
      </c>
      <c r="I964">
        <v>50</v>
      </c>
    </row>
    <row r="965" spans="1:9" x14ac:dyDescent="0.3">
      <c r="A965">
        <v>574</v>
      </c>
      <c r="B965" s="1">
        <v>45169</v>
      </c>
      <c r="C965" t="s">
        <v>587</v>
      </c>
      <c r="D965" t="s">
        <v>13</v>
      </c>
      <c r="E965">
        <v>63</v>
      </c>
      <c r="F965" t="s">
        <v>16</v>
      </c>
      <c r="G965">
        <v>2</v>
      </c>
      <c r="H965">
        <v>25</v>
      </c>
      <c r="I965">
        <v>50</v>
      </c>
    </row>
    <row r="966" spans="1:9" x14ac:dyDescent="0.3">
      <c r="A966">
        <v>429</v>
      </c>
      <c r="B966" s="1">
        <v>45288</v>
      </c>
      <c r="C966" t="s">
        <v>442</v>
      </c>
      <c r="D966" t="s">
        <v>10</v>
      </c>
      <c r="E966">
        <v>64</v>
      </c>
      <c r="F966" t="s">
        <v>16</v>
      </c>
      <c r="G966">
        <v>2</v>
      </c>
      <c r="H966">
        <v>25</v>
      </c>
      <c r="I966">
        <v>50</v>
      </c>
    </row>
    <row r="967" spans="1:9" x14ac:dyDescent="0.3">
      <c r="A967">
        <v>882</v>
      </c>
      <c r="B967" s="1">
        <v>45083</v>
      </c>
      <c r="C967" t="s">
        <v>895</v>
      </c>
      <c r="D967" t="s">
        <v>13</v>
      </c>
      <c r="E967">
        <v>64</v>
      </c>
      <c r="F967" t="s">
        <v>16</v>
      </c>
      <c r="G967">
        <v>2</v>
      </c>
      <c r="H967">
        <v>25</v>
      </c>
      <c r="I967">
        <v>50</v>
      </c>
    </row>
    <row r="968" spans="1:9" x14ac:dyDescent="0.3">
      <c r="A968">
        <v>940</v>
      </c>
      <c r="B968" s="1">
        <v>44954</v>
      </c>
      <c r="C968" t="s">
        <v>953</v>
      </c>
      <c r="D968" t="s">
        <v>13</v>
      </c>
      <c r="E968">
        <v>20</v>
      </c>
      <c r="F968" t="s">
        <v>16</v>
      </c>
      <c r="G968">
        <v>1</v>
      </c>
      <c r="H968">
        <v>30</v>
      </c>
      <c r="I968">
        <v>30</v>
      </c>
    </row>
    <row r="969" spans="1:9" x14ac:dyDescent="0.3">
      <c r="A969">
        <v>926</v>
      </c>
      <c r="B969" s="1">
        <v>45152</v>
      </c>
      <c r="C969" t="s">
        <v>939</v>
      </c>
      <c r="D969" t="s">
        <v>10</v>
      </c>
      <c r="E969">
        <v>22</v>
      </c>
      <c r="F969" t="s">
        <v>16</v>
      </c>
      <c r="G969">
        <v>1</v>
      </c>
      <c r="H969">
        <v>30</v>
      </c>
      <c r="I969">
        <v>30</v>
      </c>
    </row>
    <row r="970" spans="1:9" x14ac:dyDescent="0.3">
      <c r="A970">
        <v>485</v>
      </c>
      <c r="B970" s="1">
        <v>45264</v>
      </c>
      <c r="C970" t="s">
        <v>498</v>
      </c>
      <c r="D970" t="s">
        <v>10</v>
      </c>
      <c r="E970">
        <v>24</v>
      </c>
      <c r="F970" t="s">
        <v>16</v>
      </c>
      <c r="G970">
        <v>1</v>
      </c>
      <c r="H970">
        <v>30</v>
      </c>
      <c r="I970">
        <v>30</v>
      </c>
    </row>
    <row r="971" spans="1:9" x14ac:dyDescent="0.3">
      <c r="A971">
        <v>772</v>
      </c>
      <c r="B971" s="1">
        <v>45119</v>
      </c>
      <c r="C971" t="s">
        <v>785</v>
      </c>
      <c r="D971" t="s">
        <v>10</v>
      </c>
      <c r="E971">
        <v>26</v>
      </c>
      <c r="F971" t="s">
        <v>16</v>
      </c>
      <c r="G971">
        <v>1</v>
      </c>
      <c r="H971">
        <v>30</v>
      </c>
      <c r="I971">
        <v>30</v>
      </c>
    </row>
    <row r="972" spans="1:9" x14ac:dyDescent="0.3">
      <c r="A972">
        <v>268</v>
      </c>
      <c r="B972" s="1">
        <v>44977</v>
      </c>
      <c r="C972" t="s">
        <v>281</v>
      </c>
      <c r="D972" t="s">
        <v>13</v>
      </c>
      <c r="E972">
        <v>28</v>
      </c>
      <c r="F972" t="s">
        <v>16</v>
      </c>
      <c r="G972">
        <v>1</v>
      </c>
      <c r="H972">
        <v>30</v>
      </c>
      <c r="I972">
        <v>30</v>
      </c>
    </row>
    <row r="973" spans="1:9" x14ac:dyDescent="0.3">
      <c r="A973">
        <v>901</v>
      </c>
      <c r="B973" s="1">
        <v>45026</v>
      </c>
      <c r="C973" t="s">
        <v>914</v>
      </c>
      <c r="D973" t="s">
        <v>10</v>
      </c>
      <c r="E973">
        <v>31</v>
      </c>
      <c r="F973" t="s">
        <v>16</v>
      </c>
      <c r="G973">
        <v>1</v>
      </c>
      <c r="H973">
        <v>30</v>
      </c>
      <c r="I973">
        <v>30</v>
      </c>
    </row>
    <row r="974" spans="1:9" x14ac:dyDescent="0.3">
      <c r="A974">
        <v>617</v>
      </c>
      <c r="B974" s="1">
        <v>45164</v>
      </c>
      <c r="C974" t="s">
        <v>630</v>
      </c>
      <c r="D974" t="s">
        <v>10</v>
      </c>
      <c r="E974">
        <v>34</v>
      </c>
      <c r="F974" t="s">
        <v>16</v>
      </c>
      <c r="G974">
        <v>1</v>
      </c>
      <c r="H974">
        <v>30</v>
      </c>
      <c r="I974">
        <v>30</v>
      </c>
    </row>
    <row r="975" spans="1:9" x14ac:dyDescent="0.3">
      <c r="A975">
        <v>140</v>
      </c>
      <c r="B975" s="1">
        <v>45143</v>
      </c>
      <c r="C975" t="s">
        <v>153</v>
      </c>
      <c r="D975" t="s">
        <v>10</v>
      </c>
      <c r="E975">
        <v>38</v>
      </c>
      <c r="F975" t="s">
        <v>16</v>
      </c>
      <c r="G975">
        <v>1</v>
      </c>
      <c r="H975">
        <v>30</v>
      </c>
      <c r="I975">
        <v>30</v>
      </c>
    </row>
    <row r="976" spans="1:9" x14ac:dyDescent="0.3">
      <c r="A976">
        <v>579</v>
      </c>
      <c r="B976" s="1">
        <v>45190</v>
      </c>
      <c r="C976" t="s">
        <v>592</v>
      </c>
      <c r="D976" t="s">
        <v>13</v>
      </c>
      <c r="E976">
        <v>38</v>
      </c>
      <c r="F976" t="s">
        <v>16</v>
      </c>
      <c r="G976">
        <v>1</v>
      </c>
      <c r="H976">
        <v>30</v>
      </c>
      <c r="I976">
        <v>30</v>
      </c>
    </row>
    <row r="977" spans="1:9" x14ac:dyDescent="0.3">
      <c r="A977">
        <v>659</v>
      </c>
      <c r="B977" s="1">
        <v>45004</v>
      </c>
      <c r="C977" t="s">
        <v>672</v>
      </c>
      <c r="D977" t="s">
        <v>13</v>
      </c>
      <c r="E977">
        <v>39</v>
      </c>
      <c r="F977" t="s">
        <v>16</v>
      </c>
      <c r="G977">
        <v>1</v>
      </c>
      <c r="H977">
        <v>30</v>
      </c>
      <c r="I977">
        <v>30</v>
      </c>
    </row>
    <row r="978" spans="1:9" x14ac:dyDescent="0.3">
      <c r="A978">
        <v>100</v>
      </c>
      <c r="B978" s="1">
        <v>45093</v>
      </c>
      <c r="C978" t="s">
        <v>113</v>
      </c>
      <c r="D978" t="s">
        <v>10</v>
      </c>
      <c r="E978">
        <v>41</v>
      </c>
      <c r="F978" t="s">
        <v>16</v>
      </c>
      <c r="G978">
        <v>1</v>
      </c>
      <c r="H978">
        <v>30</v>
      </c>
      <c r="I978">
        <v>30</v>
      </c>
    </row>
    <row r="979" spans="1:9" x14ac:dyDescent="0.3">
      <c r="A979">
        <v>29</v>
      </c>
      <c r="B979" s="1">
        <v>45156</v>
      </c>
      <c r="C979" t="s">
        <v>42</v>
      </c>
      <c r="D979" t="s">
        <v>13</v>
      </c>
      <c r="E979">
        <v>42</v>
      </c>
      <c r="F979" t="s">
        <v>16</v>
      </c>
      <c r="G979">
        <v>1</v>
      </c>
      <c r="H979">
        <v>30</v>
      </c>
      <c r="I979">
        <v>30</v>
      </c>
    </row>
    <row r="980" spans="1:9" x14ac:dyDescent="0.3">
      <c r="A980">
        <v>804</v>
      </c>
      <c r="B980" s="1">
        <v>45162</v>
      </c>
      <c r="C980" t="s">
        <v>817</v>
      </c>
      <c r="D980" t="s">
        <v>10</v>
      </c>
      <c r="E980">
        <v>42</v>
      </c>
      <c r="F980" t="s">
        <v>16</v>
      </c>
      <c r="G980">
        <v>1</v>
      </c>
      <c r="H980">
        <v>30</v>
      </c>
      <c r="I980">
        <v>30</v>
      </c>
    </row>
    <row r="981" spans="1:9" x14ac:dyDescent="0.3">
      <c r="A981">
        <v>489</v>
      </c>
      <c r="B981" s="1">
        <v>45069</v>
      </c>
      <c r="C981" t="s">
        <v>502</v>
      </c>
      <c r="D981" t="s">
        <v>10</v>
      </c>
      <c r="E981">
        <v>44</v>
      </c>
      <c r="F981" t="s">
        <v>16</v>
      </c>
      <c r="G981">
        <v>1</v>
      </c>
      <c r="H981">
        <v>30</v>
      </c>
      <c r="I981">
        <v>30</v>
      </c>
    </row>
    <row r="982" spans="1:9" x14ac:dyDescent="0.3">
      <c r="A982">
        <v>66</v>
      </c>
      <c r="B982" s="1">
        <v>45043</v>
      </c>
      <c r="C982" t="s">
        <v>79</v>
      </c>
      <c r="D982" t="s">
        <v>13</v>
      </c>
      <c r="E982">
        <v>45</v>
      </c>
      <c r="F982" t="s">
        <v>16</v>
      </c>
      <c r="G982">
        <v>1</v>
      </c>
      <c r="H982">
        <v>30</v>
      </c>
      <c r="I982">
        <v>30</v>
      </c>
    </row>
    <row r="983" spans="1:9" x14ac:dyDescent="0.3">
      <c r="A983">
        <v>451</v>
      </c>
      <c r="B983" s="1">
        <v>45276</v>
      </c>
      <c r="C983" t="s">
        <v>464</v>
      </c>
      <c r="D983" t="s">
        <v>13</v>
      </c>
      <c r="E983">
        <v>45</v>
      </c>
      <c r="F983" t="s">
        <v>16</v>
      </c>
      <c r="G983">
        <v>1</v>
      </c>
      <c r="H983">
        <v>30</v>
      </c>
      <c r="I983">
        <v>30</v>
      </c>
    </row>
    <row r="984" spans="1:9" x14ac:dyDescent="0.3">
      <c r="A984">
        <v>3</v>
      </c>
      <c r="B984" s="1">
        <v>44939</v>
      </c>
      <c r="C984" t="s">
        <v>15</v>
      </c>
      <c r="D984" t="s">
        <v>10</v>
      </c>
      <c r="E984">
        <v>50</v>
      </c>
      <c r="F984" t="s">
        <v>16</v>
      </c>
      <c r="G984">
        <v>1</v>
      </c>
      <c r="H984">
        <v>30</v>
      </c>
      <c r="I984">
        <v>30</v>
      </c>
    </row>
    <row r="985" spans="1:9" x14ac:dyDescent="0.3">
      <c r="A985">
        <v>90</v>
      </c>
      <c r="B985" s="1">
        <v>45052</v>
      </c>
      <c r="C985" t="s">
        <v>103</v>
      </c>
      <c r="D985" t="s">
        <v>13</v>
      </c>
      <c r="E985">
        <v>51</v>
      </c>
      <c r="F985" t="s">
        <v>16</v>
      </c>
      <c r="G985">
        <v>1</v>
      </c>
      <c r="H985">
        <v>30</v>
      </c>
      <c r="I985">
        <v>30</v>
      </c>
    </row>
    <row r="986" spans="1:9" x14ac:dyDescent="0.3">
      <c r="A986">
        <v>894</v>
      </c>
      <c r="B986" s="1">
        <v>45174</v>
      </c>
      <c r="C986" t="s">
        <v>907</v>
      </c>
      <c r="D986" t="s">
        <v>10</v>
      </c>
      <c r="E986">
        <v>52</v>
      </c>
      <c r="F986" t="s">
        <v>16</v>
      </c>
      <c r="G986">
        <v>1</v>
      </c>
      <c r="H986">
        <v>30</v>
      </c>
      <c r="I986">
        <v>30</v>
      </c>
    </row>
    <row r="987" spans="1:9" x14ac:dyDescent="0.3">
      <c r="A987">
        <v>45</v>
      </c>
      <c r="B987" s="1">
        <v>45110</v>
      </c>
      <c r="C987" t="s">
        <v>58</v>
      </c>
      <c r="D987" t="s">
        <v>13</v>
      </c>
      <c r="E987">
        <v>55</v>
      </c>
      <c r="F987" t="s">
        <v>16</v>
      </c>
      <c r="G987">
        <v>1</v>
      </c>
      <c r="H987">
        <v>30</v>
      </c>
      <c r="I987">
        <v>30</v>
      </c>
    </row>
    <row r="988" spans="1:9" x14ac:dyDescent="0.3">
      <c r="A988">
        <v>650</v>
      </c>
      <c r="B988" s="1">
        <v>45292</v>
      </c>
      <c r="C988" t="s">
        <v>663</v>
      </c>
      <c r="D988" t="s">
        <v>10</v>
      </c>
      <c r="E988">
        <v>55</v>
      </c>
      <c r="F988" t="s">
        <v>16</v>
      </c>
      <c r="G988">
        <v>1</v>
      </c>
      <c r="H988">
        <v>30</v>
      </c>
      <c r="I988">
        <v>30</v>
      </c>
    </row>
    <row r="989" spans="1:9" x14ac:dyDescent="0.3">
      <c r="A989">
        <v>345</v>
      </c>
      <c r="B989" s="1">
        <v>45244</v>
      </c>
      <c r="C989" t="s">
        <v>358</v>
      </c>
      <c r="D989" t="s">
        <v>10</v>
      </c>
      <c r="E989">
        <v>62</v>
      </c>
      <c r="F989" t="s">
        <v>16</v>
      </c>
      <c r="G989">
        <v>1</v>
      </c>
      <c r="H989">
        <v>30</v>
      </c>
      <c r="I989">
        <v>30</v>
      </c>
    </row>
    <row r="990" spans="1:9" x14ac:dyDescent="0.3">
      <c r="A990">
        <v>427</v>
      </c>
      <c r="B990" s="1">
        <v>45153</v>
      </c>
      <c r="C990" t="s">
        <v>440</v>
      </c>
      <c r="D990" t="s">
        <v>10</v>
      </c>
      <c r="E990">
        <v>25</v>
      </c>
      <c r="F990" t="s">
        <v>16</v>
      </c>
      <c r="G990">
        <v>1</v>
      </c>
      <c r="H990">
        <v>25</v>
      </c>
      <c r="I990">
        <v>25</v>
      </c>
    </row>
    <row r="991" spans="1:9" x14ac:dyDescent="0.3">
      <c r="A991">
        <v>544</v>
      </c>
      <c r="B991" s="1">
        <v>45283</v>
      </c>
      <c r="C991" t="s">
        <v>557</v>
      </c>
      <c r="D991" t="s">
        <v>13</v>
      </c>
      <c r="E991">
        <v>27</v>
      </c>
      <c r="F991" t="s">
        <v>16</v>
      </c>
      <c r="G991">
        <v>1</v>
      </c>
      <c r="H991">
        <v>25</v>
      </c>
      <c r="I991">
        <v>25</v>
      </c>
    </row>
    <row r="992" spans="1:9" x14ac:dyDescent="0.3">
      <c r="A992">
        <v>285</v>
      </c>
      <c r="B992" s="1">
        <v>45153</v>
      </c>
      <c r="C992" t="s">
        <v>298</v>
      </c>
      <c r="D992" t="s">
        <v>13</v>
      </c>
      <c r="E992">
        <v>31</v>
      </c>
      <c r="F992" t="s">
        <v>16</v>
      </c>
      <c r="G992">
        <v>1</v>
      </c>
      <c r="H992">
        <v>25</v>
      </c>
      <c r="I992">
        <v>25</v>
      </c>
    </row>
    <row r="993" spans="1:9" x14ac:dyDescent="0.3">
      <c r="A993">
        <v>486</v>
      </c>
      <c r="B993" s="1">
        <v>45025</v>
      </c>
      <c r="C993" t="s">
        <v>499</v>
      </c>
      <c r="D993" t="s">
        <v>13</v>
      </c>
      <c r="E993">
        <v>35</v>
      </c>
      <c r="F993" t="s">
        <v>16</v>
      </c>
      <c r="G993">
        <v>1</v>
      </c>
      <c r="H993">
        <v>25</v>
      </c>
      <c r="I993">
        <v>25</v>
      </c>
    </row>
    <row r="994" spans="1:9" x14ac:dyDescent="0.3">
      <c r="A994">
        <v>468</v>
      </c>
      <c r="B994" s="1">
        <v>45269</v>
      </c>
      <c r="C994" t="s">
        <v>481</v>
      </c>
      <c r="D994" t="s">
        <v>10</v>
      </c>
      <c r="E994">
        <v>40</v>
      </c>
      <c r="F994" t="s">
        <v>16</v>
      </c>
      <c r="G994">
        <v>1</v>
      </c>
      <c r="H994">
        <v>25</v>
      </c>
      <c r="I994">
        <v>25</v>
      </c>
    </row>
    <row r="995" spans="1:9" x14ac:dyDescent="0.3">
      <c r="A995">
        <v>744</v>
      </c>
      <c r="B995" s="1">
        <v>45053</v>
      </c>
      <c r="C995" t="s">
        <v>757</v>
      </c>
      <c r="D995" t="s">
        <v>10</v>
      </c>
      <c r="E995">
        <v>40</v>
      </c>
      <c r="F995" t="s">
        <v>16</v>
      </c>
      <c r="G995">
        <v>1</v>
      </c>
      <c r="H995">
        <v>25</v>
      </c>
      <c r="I995">
        <v>25</v>
      </c>
    </row>
    <row r="996" spans="1:9" x14ac:dyDescent="0.3">
      <c r="A996">
        <v>787</v>
      </c>
      <c r="B996" s="1">
        <v>44948</v>
      </c>
      <c r="C996" t="s">
        <v>800</v>
      </c>
      <c r="D996" t="s">
        <v>10</v>
      </c>
      <c r="E996">
        <v>41</v>
      </c>
      <c r="F996" t="s">
        <v>16</v>
      </c>
      <c r="G996">
        <v>1</v>
      </c>
      <c r="H996">
        <v>25</v>
      </c>
      <c r="I996">
        <v>25</v>
      </c>
    </row>
    <row r="997" spans="1:9" x14ac:dyDescent="0.3">
      <c r="A997">
        <v>347</v>
      </c>
      <c r="B997" s="1">
        <v>45141</v>
      </c>
      <c r="C997" t="s">
        <v>360</v>
      </c>
      <c r="D997" t="s">
        <v>10</v>
      </c>
      <c r="E997">
        <v>42</v>
      </c>
      <c r="F997" t="s">
        <v>16</v>
      </c>
      <c r="G997">
        <v>1</v>
      </c>
      <c r="H997">
        <v>25</v>
      </c>
      <c r="I997">
        <v>25</v>
      </c>
    </row>
    <row r="998" spans="1:9" x14ac:dyDescent="0.3">
      <c r="A998">
        <v>989</v>
      </c>
      <c r="B998" s="1">
        <v>45288</v>
      </c>
      <c r="C998" t="s">
        <v>1002</v>
      </c>
      <c r="D998" t="s">
        <v>13</v>
      </c>
      <c r="E998">
        <v>44</v>
      </c>
      <c r="F998" t="s">
        <v>16</v>
      </c>
      <c r="G998">
        <v>1</v>
      </c>
      <c r="H998">
        <v>25</v>
      </c>
      <c r="I998">
        <v>25</v>
      </c>
    </row>
    <row r="999" spans="1:9" x14ac:dyDescent="0.3">
      <c r="A999">
        <v>907</v>
      </c>
      <c r="B999" s="1">
        <v>44934</v>
      </c>
      <c r="C999" t="s">
        <v>920</v>
      </c>
      <c r="D999" t="s">
        <v>13</v>
      </c>
      <c r="E999">
        <v>45</v>
      </c>
      <c r="F999" t="s">
        <v>16</v>
      </c>
      <c r="G999">
        <v>1</v>
      </c>
      <c r="H999">
        <v>25</v>
      </c>
      <c r="I999">
        <v>25</v>
      </c>
    </row>
    <row r="1000" spans="1:9" x14ac:dyDescent="0.3">
      <c r="A1000">
        <v>388</v>
      </c>
      <c r="B1000" s="1">
        <v>45240</v>
      </c>
      <c r="C1000" t="s">
        <v>401</v>
      </c>
      <c r="D1000" t="s">
        <v>10</v>
      </c>
      <c r="E1000">
        <v>50</v>
      </c>
      <c r="F1000" t="s">
        <v>16</v>
      </c>
      <c r="G1000">
        <v>1</v>
      </c>
      <c r="H1000">
        <v>25</v>
      </c>
      <c r="I1000">
        <v>25</v>
      </c>
    </row>
    <row r="1001" spans="1:9" x14ac:dyDescent="0.3">
      <c r="A1001">
        <v>201</v>
      </c>
      <c r="B1001" s="1">
        <v>45208</v>
      </c>
      <c r="C1001" t="s">
        <v>214</v>
      </c>
      <c r="D1001" t="s">
        <v>10</v>
      </c>
      <c r="E1001">
        <v>56</v>
      </c>
      <c r="F1001" t="s">
        <v>16</v>
      </c>
      <c r="G1001">
        <v>1</v>
      </c>
      <c r="H1001">
        <v>25</v>
      </c>
      <c r="I1001">
        <v>25</v>
      </c>
    </row>
  </sheetData>
  <sortState xmlns:xlrd2="http://schemas.microsoft.com/office/spreadsheetml/2017/richdata2" ref="A2:I1001">
    <sortCondition ref="F2:F1001"/>
    <sortCondition descending="1" ref="I2:I100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D6087-E044-4DE1-AB94-CEE396275BC9}">
  <sheetPr codeName="Sheet2">
    <tabColor theme="9" tint="-0.499984740745262"/>
  </sheetPr>
  <dimension ref="A3:J7"/>
  <sheetViews>
    <sheetView zoomScale="95" workbookViewId="0">
      <selection activeCell="I11" sqref="I11"/>
    </sheetView>
  </sheetViews>
  <sheetFormatPr defaultRowHeight="14.4" x14ac:dyDescent="0.3"/>
  <cols>
    <col min="1" max="1" width="12.44140625" bestFit="1" customWidth="1"/>
    <col min="2" max="2" width="14.21875" bestFit="1" customWidth="1"/>
    <col min="5" max="5" width="12.44140625" bestFit="1" customWidth="1"/>
    <col min="6" max="6" width="18.109375" bestFit="1" customWidth="1"/>
    <col min="9" max="9" width="12.44140625" bestFit="1" customWidth="1"/>
    <col min="10" max="10" width="18.109375" bestFit="1" customWidth="1"/>
  </cols>
  <sheetData>
    <row r="3" spans="1:10" x14ac:dyDescent="0.3">
      <c r="A3" s="9" t="s">
        <v>1022</v>
      </c>
      <c r="B3" s="9" t="s">
        <v>1025</v>
      </c>
      <c r="E3" s="9" t="s">
        <v>1022</v>
      </c>
      <c r="F3" s="9" t="s">
        <v>1024</v>
      </c>
      <c r="I3" s="9" t="s">
        <v>1022</v>
      </c>
      <c r="J3" s="9" t="s">
        <v>1024</v>
      </c>
    </row>
    <row r="4" spans="1:10" x14ac:dyDescent="0.3">
      <c r="A4" s="3" t="s">
        <v>11</v>
      </c>
      <c r="B4" s="5">
        <v>771</v>
      </c>
      <c r="E4" s="3" t="s">
        <v>11</v>
      </c>
      <c r="F4" s="5">
        <v>143515</v>
      </c>
      <c r="I4" s="3" t="s">
        <v>13</v>
      </c>
      <c r="J4" s="5">
        <v>232840</v>
      </c>
    </row>
    <row r="5" spans="1:10" x14ac:dyDescent="0.3">
      <c r="A5" s="3" t="s">
        <v>14</v>
      </c>
      <c r="B5" s="5">
        <v>894</v>
      </c>
      <c r="E5" s="3" t="s">
        <v>14</v>
      </c>
      <c r="F5" s="5">
        <v>155580</v>
      </c>
      <c r="I5" s="3" t="s">
        <v>10</v>
      </c>
      <c r="J5" s="5">
        <v>223160</v>
      </c>
    </row>
    <row r="6" spans="1:10" x14ac:dyDescent="0.3">
      <c r="A6" s="3" t="s">
        <v>16</v>
      </c>
      <c r="B6" s="5">
        <v>849</v>
      </c>
      <c r="E6" s="3" t="s">
        <v>16</v>
      </c>
      <c r="F6" s="5">
        <v>156905</v>
      </c>
      <c r="I6" s="10" t="s">
        <v>1023</v>
      </c>
      <c r="J6" s="11">
        <v>456000</v>
      </c>
    </row>
    <row r="7" spans="1:10" x14ac:dyDescent="0.3">
      <c r="A7" s="10" t="s">
        <v>1023</v>
      </c>
      <c r="B7" s="11">
        <v>2514</v>
      </c>
      <c r="E7" s="10" t="s">
        <v>1023</v>
      </c>
      <c r="F7" s="11">
        <v>456000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F342-C87A-41EE-91F0-23F851F4239C}">
  <sheetPr codeName="Sheet3">
    <tabColor theme="9" tint="-0.499984740745262"/>
  </sheetPr>
  <dimension ref="A1:BA54"/>
  <sheetViews>
    <sheetView tabSelected="1" zoomScale="85" zoomScaleNormal="100" workbookViewId="0">
      <selection activeCell="Q1" sqref="Q1"/>
    </sheetView>
  </sheetViews>
  <sheetFormatPr defaultRowHeight="14.4" x14ac:dyDescent="0.3"/>
  <cols>
    <col min="1" max="1" width="29" customWidth="1"/>
    <col min="2" max="2" width="28.21875" customWidth="1"/>
  </cols>
  <sheetData>
    <row r="1" spans="1:53" ht="31.2" x14ac:dyDescent="0.6">
      <c r="A1" s="33" t="s">
        <v>1033</v>
      </c>
      <c r="B1" s="34"/>
      <c r="C1" s="34"/>
      <c r="D1" s="34"/>
      <c r="E1" s="34"/>
      <c r="F1" s="34"/>
      <c r="G1" s="34"/>
      <c r="H1" s="34"/>
      <c r="I1" s="34"/>
      <c r="J1" s="34"/>
      <c r="K1" s="34"/>
      <c r="L1" s="34"/>
      <c r="M1" s="34"/>
      <c r="N1" t="s">
        <v>1014</v>
      </c>
      <c r="O1" s="13"/>
      <c r="P1" s="12" t="s">
        <v>1028</v>
      </c>
      <c r="Q1" s="13"/>
      <c r="R1" s="12"/>
      <c r="S1" s="21" t="s">
        <v>1027</v>
      </c>
      <c r="T1" s="21"/>
      <c r="U1" s="21"/>
      <c r="V1" s="21"/>
      <c r="W1" s="21"/>
      <c r="X1" s="21"/>
      <c r="Y1" s="19"/>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6"/>
    </row>
    <row r="2" spans="1:53" ht="15" thickBot="1" x14ac:dyDescent="0.35">
      <c r="A2" s="23"/>
      <c r="B2" s="23"/>
      <c r="C2" s="23"/>
      <c r="D2" s="23"/>
      <c r="E2" s="23"/>
      <c r="F2" s="23"/>
      <c r="G2" s="23"/>
      <c r="H2" s="23"/>
      <c r="I2" s="23"/>
      <c r="J2" s="23"/>
      <c r="K2" s="23"/>
      <c r="L2" s="23"/>
      <c r="M2" s="23"/>
      <c r="N2" s="23"/>
      <c r="O2" s="23"/>
      <c r="P2" s="23"/>
      <c r="Q2" s="23"/>
      <c r="R2" s="23"/>
      <c r="S2" s="24"/>
      <c r="T2" s="24"/>
      <c r="U2" s="24"/>
      <c r="V2" s="24"/>
      <c r="W2" s="24"/>
      <c r="X2" s="24"/>
      <c r="Y2" s="23"/>
      <c r="BA2" s="17"/>
    </row>
    <row r="3" spans="1:53" ht="19.2" thickTop="1" thickBot="1" x14ac:dyDescent="0.4">
      <c r="A3" s="31" t="s">
        <v>1021</v>
      </c>
      <c r="B3" s="32"/>
      <c r="C3" s="23"/>
      <c r="D3" s="23"/>
      <c r="E3" s="23"/>
      <c r="F3" s="23"/>
      <c r="G3" s="23"/>
      <c r="H3" s="23"/>
      <c r="I3" s="23"/>
      <c r="J3" s="23"/>
      <c r="K3" s="23"/>
      <c r="L3" s="23"/>
      <c r="M3" s="23"/>
      <c r="N3" s="23"/>
      <c r="O3" s="23"/>
      <c r="P3" s="23"/>
      <c r="Q3" s="23"/>
      <c r="R3" s="23"/>
      <c r="S3" s="24"/>
      <c r="T3" s="24"/>
      <c r="U3" s="24"/>
      <c r="V3" s="24"/>
      <c r="W3" s="24"/>
      <c r="X3" s="24"/>
      <c r="Y3" s="23"/>
      <c r="BA3" s="17"/>
    </row>
    <row r="4" spans="1:53" ht="15.6" thickTop="1" thickBot="1" x14ac:dyDescent="0.35">
      <c r="A4" s="25" t="s">
        <v>1029</v>
      </c>
      <c r="B4" s="27">
        <f>SUM(retail_sales_dataset!I2:I1001)</f>
        <v>456000</v>
      </c>
      <c r="C4" s="23"/>
      <c r="D4" s="23"/>
      <c r="E4" s="23"/>
      <c r="F4" s="23"/>
      <c r="G4" s="23"/>
      <c r="H4" s="23"/>
      <c r="I4" s="23"/>
      <c r="J4" s="23"/>
      <c r="K4" s="23"/>
      <c r="L4" s="23"/>
      <c r="M4" s="23"/>
      <c r="N4" s="23"/>
      <c r="O4" s="23"/>
      <c r="P4" s="23"/>
      <c r="Q4" s="23"/>
      <c r="R4" s="23"/>
      <c r="S4" s="24"/>
      <c r="T4" s="24"/>
      <c r="U4" s="24"/>
      <c r="V4" s="24"/>
      <c r="W4" s="24"/>
      <c r="X4" s="24"/>
      <c r="Y4" s="23"/>
      <c r="BA4" s="17"/>
    </row>
    <row r="5" spans="1:53" ht="15.6" thickTop="1" thickBot="1" x14ac:dyDescent="0.35">
      <c r="A5" s="25" t="s">
        <v>1034</v>
      </c>
      <c r="B5" s="26">
        <f>COUNT(retail_sales_dataset!A2:A1001)</f>
        <v>1000</v>
      </c>
      <c r="C5" s="23"/>
      <c r="D5" s="23"/>
      <c r="E5" s="23"/>
      <c r="F5" s="23"/>
      <c r="G5" s="23"/>
      <c r="H5" s="23"/>
      <c r="I5" s="23"/>
      <c r="J5" s="23"/>
      <c r="K5" s="23"/>
      <c r="L5" s="23"/>
      <c r="M5" s="23"/>
      <c r="N5" s="23"/>
      <c r="O5" s="23"/>
      <c r="P5" s="23"/>
      <c r="Q5" s="23"/>
      <c r="R5" s="23"/>
      <c r="S5" s="24"/>
      <c r="T5" s="24"/>
      <c r="U5" s="24"/>
      <c r="V5" s="24"/>
      <c r="W5" s="24"/>
      <c r="X5" s="24"/>
      <c r="Y5" s="23"/>
      <c r="BA5" s="17"/>
    </row>
    <row r="6" spans="1:53" ht="15.6" thickTop="1" thickBot="1" x14ac:dyDescent="0.35">
      <c r="A6" s="25" t="s">
        <v>1030</v>
      </c>
      <c r="B6" s="27">
        <f>AVERAGE(retail_sales_dataset!I2:I1001)</f>
        <v>456</v>
      </c>
      <c r="C6" s="23"/>
      <c r="D6" s="23"/>
      <c r="E6" s="23"/>
      <c r="F6" s="23"/>
      <c r="G6" s="23"/>
      <c r="H6" s="23"/>
      <c r="I6" s="23"/>
      <c r="J6" s="23"/>
      <c r="K6" s="23"/>
      <c r="L6" s="23"/>
      <c r="M6" s="23"/>
      <c r="N6" s="23"/>
      <c r="O6" s="23"/>
      <c r="P6" s="23"/>
      <c r="Q6" s="23"/>
      <c r="R6" s="23"/>
      <c r="S6" s="24"/>
      <c r="T6" s="24"/>
      <c r="U6" s="24"/>
      <c r="V6" s="24"/>
      <c r="W6" s="24"/>
      <c r="X6" s="24"/>
      <c r="Y6" s="23"/>
      <c r="BA6" s="17"/>
    </row>
    <row r="7" spans="1:53" ht="15.6" thickTop="1" thickBot="1" x14ac:dyDescent="0.35">
      <c r="A7" s="25" t="s">
        <v>1031</v>
      </c>
      <c r="B7" s="27">
        <f>MAX(retail_sales_dataset!I2:I1001)</f>
        <v>2000</v>
      </c>
      <c r="C7" s="23"/>
      <c r="D7" s="23"/>
      <c r="E7" s="23"/>
      <c r="F7" s="23"/>
      <c r="G7" s="23"/>
      <c r="H7" s="23"/>
      <c r="I7" s="23"/>
      <c r="J7" s="23"/>
      <c r="K7" s="23"/>
      <c r="L7" s="23"/>
      <c r="M7" s="23"/>
      <c r="N7" s="23"/>
      <c r="O7" s="23"/>
      <c r="P7" s="23"/>
      <c r="Q7" s="23"/>
      <c r="R7" s="23"/>
      <c r="S7" s="24"/>
      <c r="T7" s="24"/>
      <c r="U7" s="24"/>
      <c r="V7" s="24"/>
      <c r="W7" s="24"/>
      <c r="X7" s="24"/>
      <c r="Y7" s="23"/>
      <c r="BA7" s="17"/>
    </row>
    <row r="8" spans="1:53" ht="15.6" thickTop="1" thickBot="1" x14ac:dyDescent="0.35">
      <c r="A8" s="25" t="s">
        <v>1032</v>
      </c>
      <c r="B8" s="27">
        <f>MIN(retail_sales_dataset!I2:I1001)</f>
        <v>25</v>
      </c>
      <c r="C8" s="23"/>
      <c r="D8" s="23"/>
      <c r="E8" s="23"/>
      <c r="F8" s="23"/>
      <c r="G8" s="23"/>
      <c r="H8" s="23"/>
      <c r="I8" s="23"/>
      <c r="J8" s="23"/>
      <c r="K8" s="23"/>
      <c r="L8" s="23"/>
      <c r="M8" s="23"/>
      <c r="N8" s="23"/>
      <c r="O8" s="23"/>
      <c r="P8" s="23"/>
      <c r="Q8" s="23"/>
      <c r="R8" s="23"/>
      <c r="S8" s="24"/>
      <c r="T8" s="24"/>
      <c r="U8" s="24"/>
      <c r="V8" s="24"/>
      <c r="W8" s="24"/>
      <c r="X8" s="24"/>
      <c r="Y8" s="23"/>
      <c r="BA8" s="17"/>
    </row>
    <row r="9" spans="1:53" ht="15" thickTop="1" x14ac:dyDescent="0.3">
      <c r="A9" s="23"/>
      <c r="B9" s="23"/>
      <c r="C9" s="23"/>
      <c r="D9" s="23"/>
      <c r="E9" s="23"/>
      <c r="F9" s="23"/>
      <c r="G9" s="23"/>
      <c r="H9" s="23"/>
      <c r="I9" s="23"/>
      <c r="J9" s="23"/>
      <c r="K9" s="23"/>
      <c r="L9" s="23"/>
      <c r="M9" s="23"/>
      <c r="N9" s="23"/>
      <c r="O9" s="23"/>
      <c r="P9" s="23"/>
      <c r="Q9" s="23"/>
      <c r="R9" s="23"/>
      <c r="S9" s="24"/>
      <c r="T9" s="24"/>
      <c r="U9" s="24"/>
      <c r="V9" s="24"/>
      <c r="W9" s="24"/>
      <c r="X9" s="24"/>
      <c r="Y9" s="23"/>
      <c r="BA9" s="17"/>
    </row>
    <row r="10" spans="1:53" x14ac:dyDescent="0.3">
      <c r="A10" s="23"/>
      <c r="B10" s="23"/>
      <c r="C10" s="23"/>
      <c r="D10" s="23"/>
      <c r="E10" s="23"/>
      <c r="F10" s="23"/>
      <c r="G10" s="23"/>
      <c r="H10" s="23"/>
      <c r="I10" s="23"/>
      <c r="J10" s="23"/>
      <c r="K10" s="23"/>
      <c r="L10" s="23"/>
      <c r="M10" s="23"/>
      <c r="N10" s="23"/>
      <c r="O10" s="23"/>
      <c r="P10" s="23"/>
      <c r="Q10" s="23"/>
      <c r="R10" s="23"/>
      <c r="S10" s="24"/>
      <c r="T10" s="24"/>
      <c r="U10" s="24"/>
      <c r="V10" s="24"/>
      <c r="W10" s="24"/>
      <c r="X10" s="24"/>
      <c r="Y10" s="23"/>
      <c r="BA10" s="17"/>
    </row>
    <row r="11" spans="1:53" x14ac:dyDescent="0.3">
      <c r="A11" s="23"/>
      <c r="B11" s="23"/>
      <c r="C11" s="23"/>
      <c r="D11" s="23"/>
      <c r="E11" s="23"/>
      <c r="F11" s="23"/>
      <c r="G11" s="23"/>
      <c r="H11" s="23"/>
      <c r="I11" s="23"/>
      <c r="J11" s="23"/>
      <c r="K11" s="23"/>
      <c r="L11" s="23"/>
      <c r="M11" s="23"/>
      <c r="N11" s="23"/>
      <c r="O11" s="23"/>
      <c r="P11" s="23"/>
      <c r="Q11" s="23"/>
      <c r="R11" s="23"/>
      <c r="S11" s="24"/>
      <c r="T11" s="24"/>
      <c r="U11" s="24"/>
      <c r="V11" s="24"/>
      <c r="W11" s="24"/>
      <c r="X11" s="24"/>
      <c r="Y11" s="23"/>
      <c r="BA11" s="17"/>
    </row>
    <row r="12" spans="1:53" x14ac:dyDescent="0.3">
      <c r="A12" s="23"/>
      <c r="B12" s="23"/>
      <c r="C12" s="23"/>
      <c r="D12" s="23"/>
      <c r="E12" s="23"/>
      <c r="F12" s="23"/>
      <c r="G12" s="23"/>
      <c r="H12" s="23"/>
      <c r="I12" s="23"/>
      <c r="J12" s="23"/>
      <c r="K12" s="23"/>
      <c r="L12" s="23"/>
      <c r="M12" s="23"/>
      <c r="N12" s="23"/>
      <c r="O12" s="23"/>
      <c r="P12" s="23"/>
      <c r="Q12" s="23"/>
      <c r="R12" s="23"/>
      <c r="S12" s="24"/>
      <c r="T12" s="24"/>
      <c r="U12" s="24"/>
      <c r="V12" s="24"/>
      <c r="W12" s="24"/>
      <c r="X12" s="24"/>
      <c r="Y12" s="2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8"/>
    </row>
    <row r="13" spans="1:53" x14ac:dyDescent="0.3">
      <c r="A13" s="23"/>
      <c r="B13" s="23"/>
      <c r="C13" s="23"/>
      <c r="D13" s="23"/>
      <c r="E13" s="23"/>
      <c r="F13" s="23"/>
      <c r="G13" s="23"/>
      <c r="H13" s="23"/>
      <c r="I13" s="23"/>
      <c r="J13" s="23"/>
      <c r="K13" s="23"/>
      <c r="L13" s="23"/>
      <c r="M13" s="23"/>
      <c r="N13" s="23"/>
      <c r="O13" s="23"/>
      <c r="P13" s="23"/>
      <c r="Q13" s="23"/>
      <c r="R13" s="23"/>
      <c r="S13" s="24"/>
      <c r="T13" s="24"/>
      <c r="U13" s="24"/>
      <c r="V13" s="24"/>
      <c r="W13" s="24"/>
      <c r="X13" s="24"/>
      <c r="Y13" s="23"/>
    </row>
    <row r="14" spans="1:53" x14ac:dyDescent="0.3">
      <c r="A14" s="23"/>
      <c r="B14" s="23"/>
      <c r="C14" s="23"/>
      <c r="D14" s="23"/>
      <c r="E14" s="23"/>
      <c r="F14" s="23"/>
      <c r="G14" s="23"/>
      <c r="H14" s="23"/>
      <c r="I14" s="23"/>
      <c r="J14" s="23"/>
      <c r="K14" s="23"/>
      <c r="L14" s="23"/>
      <c r="M14" s="23"/>
      <c r="N14" s="23"/>
      <c r="O14" s="23"/>
      <c r="P14" s="23"/>
      <c r="Q14" s="23"/>
      <c r="R14" s="23"/>
      <c r="S14" s="24"/>
      <c r="T14" s="24"/>
      <c r="U14" s="24"/>
      <c r="V14" s="24"/>
      <c r="W14" s="24"/>
      <c r="X14" s="24"/>
      <c r="Y14" s="23"/>
    </row>
    <row r="15" spans="1:53" x14ac:dyDescent="0.3">
      <c r="A15" s="23"/>
      <c r="B15" s="23"/>
      <c r="C15" s="23"/>
      <c r="D15" s="23"/>
      <c r="E15" s="23"/>
      <c r="F15" s="23"/>
      <c r="G15" s="23"/>
      <c r="H15" s="23"/>
      <c r="I15" s="23"/>
      <c r="J15" s="23"/>
      <c r="K15" s="23"/>
      <c r="L15" s="23"/>
      <c r="M15" s="23"/>
      <c r="N15" s="23"/>
      <c r="O15" s="23"/>
      <c r="P15" s="23"/>
      <c r="Q15" s="23"/>
      <c r="R15" s="23"/>
      <c r="S15" s="24"/>
      <c r="T15" s="24"/>
      <c r="U15" s="24"/>
      <c r="V15" s="24"/>
      <c r="W15" s="24"/>
      <c r="X15" s="24"/>
      <c r="Y15" s="23"/>
    </row>
    <row r="16" spans="1:53" x14ac:dyDescent="0.3">
      <c r="A16" s="23"/>
      <c r="B16" s="23"/>
      <c r="C16" s="23"/>
      <c r="D16" s="23"/>
      <c r="E16" s="23"/>
      <c r="F16" s="23"/>
      <c r="G16" s="23"/>
      <c r="H16" s="23"/>
      <c r="I16" s="23"/>
      <c r="J16" s="23"/>
      <c r="K16" s="23"/>
      <c r="L16" s="23"/>
      <c r="M16" s="23"/>
      <c r="N16" s="23"/>
      <c r="O16" s="23"/>
      <c r="P16" s="23"/>
      <c r="Q16" s="23"/>
      <c r="R16" s="23"/>
      <c r="S16" s="24"/>
      <c r="T16" s="24"/>
      <c r="U16" s="24"/>
      <c r="V16" s="24"/>
      <c r="W16" s="24"/>
      <c r="X16" s="24"/>
      <c r="Y16" s="23"/>
    </row>
    <row r="17" spans="1:25" x14ac:dyDescent="0.3">
      <c r="A17" s="23"/>
      <c r="B17" s="23"/>
      <c r="C17" s="23"/>
      <c r="D17" s="23"/>
      <c r="E17" s="23"/>
      <c r="F17" s="23"/>
      <c r="G17" s="23"/>
      <c r="H17" s="23"/>
      <c r="I17" s="23"/>
      <c r="J17" s="23"/>
      <c r="K17" s="23"/>
      <c r="L17" s="23"/>
      <c r="M17" s="23"/>
      <c r="N17" s="23"/>
      <c r="O17" s="23"/>
      <c r="P17" s="23"/>
      <c r="Q17" s="23"/>
      <c r="R17" s="23"/>
      <c r="S17" s="24"/>
      <c r="T17" s="24"/>
      <c r="U17" s="24"/>
      <c r="V17" s="24"/>
      <c r="W17" s="24"/>
      <c r="X17" s="24"/>
      <c r="Y17" s="23"/>
    </row>
    <row r="18" spans="1:25" x14ac:dyDescent="0.3">
      <c r="A18" s="23"/>
      <c r="B18" s="23"/>
      <c r="C18" s="23"/>
      <c r="D18" s="23"/>
      <c r="E18" s="23"/>
      <c r="F18" s="23"/>
      <c r="G18" s="23"/>
      <c r="H18" s="23"/>
      <c r="I18" s="23"/>
      <c r="J18" s="23"/>
      <c r="K18" s="23"/>
      <c r="L18" s="23"/>
      <c r="M18" s="23"/>
      <c r="N18" s="23"/>
      <c r="O18" s="23"/>
      <c r="P18" s="23"/>
      <c r="Q18" s="23"/>
      <c r="R18" s="23"/>
      <c r="S18" s="24"/>
      <c r="T18" s="24"/>
      <c r="U18" s="24"/>
      <c r="V18" s="24"/>
      <c r="W18" s="24"/>
      <c r="X18" s="24"/>
      <c r="Y18" s="23"/>
    </row>
    <row r="19" spans="1:25" x14ac:dyDescent="0.3">
      <c r="A19" s="23"/>
      <c r="B19" s="23"/>
      <c r="C19" s="23"/>
      <c r="D19" s="23"/>
      <c r="E19" s="23"/>
      <c r="F19" s="23"/>
      <c r="G19" s="23"/>
      <c r="H19" s="23"/>
      <c r="I19" s="23"/>
      <c r="J19" s="23"/>
      <c r="K19" s="23"/>
      <c r="L19" s="23"/>
      <c r="M19" s="23"/>
      <c r="N19" s="23"/>
      <c r="O19" s="23"/>
      <c r="P19" s="23"/>
      <c r="Q19" s="23"/>
      <c r="R19" s="23"/>
      <c r="S19" s="24"/>
      <c r="T19" s="24"/>
      <c r="U19" s="24"/>
      <c r="V19" s="24"/>
      <c r="W19" s="24"/>
      <c r="X19" s="24"/>
      <c r="Y19" s="23"/>
    </row>
    <row r="20" spans="1:25" x14ac:dyDescent="0.3">
      <c r="A20" s="23"/>
      <c r="B20" s="23"/>
      <c r="C20" s="23"/>
      <c r="D20" s="23"/>
      <c r="E20" s="23"/>
      <c r="F20" s="23"/>
      <c r="G20" s="23"/>
      <c r="H20" s="23"/>
      <c r="I20" s="23"/>
      <c r="J20" s="23"/>
      <c r="K20" s="23"/>
      <c r="L20" s="23"/>
      <c r="M20" s="23"/>
      <c r="N20" s="23"/>
      <c r="O20" s="23"/>
      <c r="P20" s="23"/>
      <c r="Q20" s="23"/>
      <c r="R20" s="23"/>
      <c r="S20" s="24"/>
      <c r="T20" s="24"/>
      <c r="U20" s="24"/>
      <c r="V20" s="24"/>
      <c r="W20" s="24"/>
      <c r="X20" s="24"/>
      <c r="Y20" s="23"/>
    </row>
    <row r="21" spans="1:25" x14ac:dyDescent="0.3">
      <c r="A21" s="23"/>
      <c r="B21" s="23"/>
      <c r="C21" s="23"/>
      <c r="D21" s="23"/>
      <c r="E21" s="23"/>
      <c r="F21" s="23"/>
      <c r="G21" s="23"/>
      <c r="H21" s="23"/>
      <c r="I21" s="23"/>
      <c r="J21" s="23"/>
      <c r="K21" s="23"/>
      <c r="L21" s="23"/>
      <c r="M21" s="23"/>
      <c r="N21" s="23"/>
      <c r="O21" s="23"/>
      <c r="P21" s="23"/>
      <c r="Q21" s="23"/>
      <c r="R21" s="23"/>
      <c r="S21" s="24"/>
      <c r="T21" s="24"/>
      <c r="U21" s="24"/>
      <c r="V21" s="24"/>
      <c r="W21" s="24"/>
      <c r="X21" s="24"/>
      <c r="Y21" s="23"/>
    </row>
    <row r="22" spans="1:25" x14ac:dyDescent="0.3">
      <c r="A22" s="23"/>
      <c r="B22" s="23"/>
      <c r="C22" s="23"/>
      <c r="D22" s="23"/>
      <c r="E22" s="23"/>
      <c r="F22" s="23"/>
      <c r="G22" s="23"/>
      <c r="H22" s="23"/>
      <c r="I22" s="23"/>
      <c r="J22" s="23"/>
      <c r="K22" s="23"/>
      <c r="L22" s="23"/>
      <c r="M22" s="23"/>
      <c r="N22" s="23"/>
      <c r="O22" s="23"/>
      <c r="P22" s="23"/>
      <c r="Q22" s="23"/>
      <c r="R22" s="23"/>
      <c r="S22" s="24"/>
      <c r="T22" s="24"/>
      <c r="U22" s="24"/>
      <c r="V22" s="24"/>
      <c r="W22" s="24"/>
      <c r="X22" s="24"/>
      <c r="Y22" s="23"/>
    </row>
    <row r="23" spans="1:25" x14ac:dyDescent="0.3">
      <c r="A23" s="23"/>
      <c r="B23" s="23"/>
      <c r="C23" s="23"/>
      <c r="D23" s="23"/>
      <c r="E23" s="23"/>
      <c r="F23" s="23"/>
      <c r="G23" s="23"/>
      <c r="H23" s="23"/>
      <c r="I23" s="23"/>
      <c r="J23" s="23"/>
      <c r="K23" s="23"/>
      <c r="L23" s="23"/>
      <c r="M23" s="23"/>
      <c r="N23" s="23"/>
      <c r="O23" s="23"/>
      <c r="P23" s="23"/>
      <c r="Q23" s="23"/>
      <c r="R23" s="23"/>
      <c r="S23" s="24"/>
      <c r="T23" s="24"/>
      <c r="U23" s="24"/>
      <c r="V23" s="24"/>
      <c r="W23" s="24"/>
      <c r="X23" s="24"/>
      <c r="Y23" s="23"/>
    </row>
    <row r="24" spans="1:25" x14ac:dyDescent="0.3">
      <c r="A24" s="23"/>
      <c r="B24" s="23"/>
      <c r="C24" s="23"/>
      <c r="D24" s="23"/>
      <c r="E24" s="23"/>
      <c r="F24" s="23"/>
      <c r="G24" s="23"/>
      <c r="H24" s="23"/>
      <c r="I24" s="23"/>
      <c r="J24" s="23"/>
      <c r="K24" s="23"/>
      <c r="L24" s="23"/>
      <c r="M24" s="23"/>
      <c r="N24" s="23"/>
      <c r="O24" s="23"/>
      <c r="P24" s="23"/>
      <c r="Q24" s="23"/>
      <c r="R24" s="23"/>
      <c r="S24" s="24"/>
      <c r="T24" s="24"/>
      <c r="U24" s="24"/>
      <c r="V24" s="24"/>
      <c r="W24" s="24"/>
      <c r="X24" s="24"/>
      <c r="Y24" s="23"/>
    </row>
    <row r="25" spans="1:25" x14ac:dyDescent="0.3">
      <c r="A25" s="23"/>
      <c r="B25" s="23"/>
      <c r="C25" s="23"/>
      <c r="D25" s="23"/>
      <c r="E25" s="23"/>
      <c r="F25" s="23"/>
      <c r="G25" s="23"/>
      <c r="H25" s="23"/>
      <c r="I25" s="23"/>
      <c r="J25" s="23"/>
      <c r="K25" s="23"/>
      <c r="L25" s="23"/>
      <c r="M25" s="23"/>
      <c r="N25" s="23"/>
      <c r="O25" s="23"/>
      <c r="P25" s="23"/>
      <c r="Q25" s="23"/>
      <c r="R25" s="23"/>
      <c r="S25" s="24"/>
      <c r="T25" s="24"/>
      <c r="U25" s="24"/>
      <c r="V25" s="24"/>
      <c r="W25" s="24"/>
      <c r="X25" s="24"/>
      <c r="Y25" s="23"/>
    </row>
    <row r="26" spans="1:25" x14ac:dyDescent="0.3">
      <c r="A26" s="23"/>
      <c r="B26" s="23"/>
      <c r="C26" s="23"/>
      <c r="D26" s="23"/>
      <c r="E26" s="23"/>
      <c r="F26" s="23"/>
      <c r="G26" s="23"/>
      <c r="H26" s="23"/>
      <c r="I26" s="23"/>
      <c r="J26" s="23"/>
      <c r="K26" s="23"/>
      <c r="L26" s="23"/>
      <c r="M26" s="23"/>
      <c r="N26" s="23"/>
      <c r="O26" s="23"/>
      <c r="P26" s="23"/>
      <c r="Q26" s="23"/>
      <c r="R26" s="23"/>
      <c r="S26" s="24"/>
      <c r="T26" s="24"/>
      <c r="U26" s="24"/>
      <c r="V26" s="24"/>
      <c r="W26" s="24"/>
      <c r="X26" s="24"/>
      <c r="Y26" s="23"/>
    </row>
    <row r="27" spans="1:25" x14ac:dyDescent="0.3">
      <c r="A27" s="23"/>
      <c r="B27" s="23"/>
      <c r="C27" s="23"/>
      <c r="D27" s="23"/>
      <c r="E27" s="23"/>
      <c r="F27" s="23"/>
      <c r="G27" s="23"/>
      <c r="H27" s="23"/>
      <c r="I27" s="23"/>
      <c r="J27" s="23"/>
      <c r="K27" s="23"/>
      <c r="L27" s="23"/>
      <c r="M27" s="23"/>
      <c r="N27" s="23"/>
      <c r="O27" s="23"/>
      <c r="P27" s="23"/>
      <c r="Q27" s="23"/>
      <c r="R27" s="23"/>
      <c r="S27" s="24"/>
      <c r="T27" s="24"/>
      <c r="U27" s="24"/>
      <c r="V27" s="24"/>
      <c r="W27" s="24"/>
      <c r="X27" s="24"/>
      <c r="Y27" s="23"/>
    </row>
    <row r="28" spans="1:25" x14ac:dyDescent="0.3">
      <c r="A28" s="23"/>
      <c r="B28" s="23"/>
      <c r="C28" s="23"/>
      <c r="D28" s="23"/>
      <c r="E28" s="23"/>
      <c r="F28" s="23"/>
      <c r="G28" s="23"/>
      <c r="H28" s="23"/>
      <c r="I28" s="23"/>
      <c r="J28" s="23"/>
      <c r="K28" s="23"/>
      <c r="L28" s="23"/>
      <c r="M28" s="23"/>
      <c r="N28" s="23"/>
      <c r="O28" s="23"/>
      <c r="P28" s="23"/>
      <c r="Q28" s="23"/>
      <c r="R28" s="23"/>
      <c r="S28" s="24"/>
      <c r="T28" s="24"/>
      <c r="U28" s="24"/>
      <c r="V28" s="24"/>
      <c r="W28" s="24"/>
      <c r="X28" s="24"/>
      <c r="Y28" s="23"/>
    </row>
    <row r="29" spans="1:25" x14ac:dyDescent="0.3">
      <c r="A29" s="23"/>
      <c r="B29" s="23"/>
      <c r="C29" s="23"/>
      <c r="D29" s="23"/>
      <c r="E29" s="23"/>
      <c r="F29" s="23"/>
      <c r="G29" s="23"/>
      <c r="H29" s="23"/>
      <c r="I29" s="23"/>
      <c r="J29" s="23"/>
      <c r="K29" s="23"/>
      <c r="L29" s="23"/>
      <c r="M29" s="23"/>
      <c r="N29" s="23"/>
      <c r="O29" s="23"/>
      <c r="P29" s="23"/>
      <c r="Q29" s="23"/>
      <c r="R29" s="23"/>
      <c r="S29" s="24"/>
      <c r="T29" s="24"/>
      <c r="U29" s="24"/>
      <c r="V29" s="24"/>
      <c r="W29" s="24"/>
      <c r="X29" s="24"/>
      <c r="Y29" s="23"/>
    </row>
    <row r="30" spans="1:25" x14ac:dyDescent="0.3">
      <c r="A30" s="23"/>
      <c r="B30" s="23"/>
      <c r="C30" s="23"/>
      <c r="D30" s="23"/>
      <c r="E30" s="23"/>
      <c r="F30" s="23"/>
      <c r="G30" s="23"/>
      <c r="H30" s="23"/>
      <c r="I30" s="23"/>
      <c r="J30" s="23"/>
      <c r="K30" s="23"/>
      <c r="L30" s="23"/>
      <c r="M30" s="23"/>
      <c r="N30" s="23"/>
      <c r="O30" s="23"/>
      <c r="P30" s="23"/>
      <c r="Q30" s="23"/>
      <c r="R30" s="23"/>
      <c r="S30" s="24"/>
      <c r="T30" s="24"/>
      <c r="U30" s="24"/>
      <c r="V30" s="24"/>
      <c r="W30" s="24"/>
      <c r="X30" s="24"/>
      <c r="Y30" s="23"/>
    </row>
    <row r="31" spans="1:25" x14ac:dyDescent="0.3">
      <c r="A31" s="23"/>
      <c r="B31" s="23"/>
      <c r="C31" s="23"/>
      <c r="D31" s="23"/>
      <c r="E31" s="23"/>
      <c r="F31" s="23"/>
      <c r="G31" s="23"/>
      <c r="H31" s="23"/>
      <c r="I31" s="23"/>
      <c r="J31" s="23"/>
      <c r="K31" s="23"/>
      <c r="L31" s="23"/>
      <c r="M31" s="23"/>
      <c r="N31" s="23"/>
      <c r="O31" s="23"/>
      <c r="P31" s="23"/>
      <c r="Q31" s="23"/>
      <c r="R31" s="23"/>
      <c r="S31" s="24"/>
      <c r="T31" s="24"/>
      <c r="U31" s="24"/>
      <c r="V31" s="24"/>
      <c r="W31" s="24"/>
      <c r="X31" s="24"/>
      <c r="Y31" s="23"/>
    </row>
    <row r="32" spans="1:25"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spans="1:25"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spans="1:25"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spans="1:25"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spans="1:25"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spans="1:25"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spans="1:25"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spans="1:25"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spans="1:25"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spans="1:25"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spans="1:25"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spans="1:25"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spans="1:25"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spans="1:25"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spans="1:25"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spans="1:25"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spans="1:25"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spans="1:25"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spans="1:25"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spans="1:25"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spans="1:25"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spans="1:25"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spans="1:25"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sheetData>
  <mergeCells count="2">
    <mergeCell ref="A3:B3"/>
    <mergeCell ref="A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9E85-F8E5-4672-A5AB-11C073C4087C}">
  <sheetPr codeName="Sheet4">
    <tabColor theme="9" tint="-0.499984740745262"/>
  </sheetPr>
  <dimension ref="A1:Y2530"/>
  <sheetViews>
    <sheetView zoomScale="99" workbookViewId="0">
      <selection activeCell="J117" sqref="J117"/>
    </sheetView>
  </sheetViews>
  <sheetFormatPr defaultRowHeight="14.4" x14ac:dyDescent="0.3"/>
  <sheetData>
    <row r="1" spans="1:25" x14ac:dyDescent="0.3">
      <c r="A1" s="20"/>
      <c r="B1" s="20"/>
      <c r="C1" s="20"/>
      <c r="D1" s="20"/>
      <c r="E1" s="20"/>
      <c r="F1" s="20"/>
      <c r="G1" s="20"/>
      <c r="H1" s="20"/>
      <c r="I1" s="20"/>
      <c r="J1" s="20"/>
      <c r="K1" s="20"/>
      <c r="L1" s="20"/>
      <c r="M1" s="28"/>
      <c r="N1" s="30"/>
      <c r="O1" s="30"/>
      <c r="P1" s="30"/>
      <c r="Q1" s="30"/>
      <c r="R1" s="30"/>
      <c r="S1" s="30"/>
      <c r="T1" s="30"/>
      <c r="U1" s="30"/>
      <c r="V1" s="30"/>
      <c r="W1" s="30"/>
      <c r="X1" s="30"/>
      <c r="Y1" s="22"/>
    </row>
    <row r="2" spans="1:25" x14ac:dyDescent="0.3">
      <c r="A2" s="20"/>
      <c r="B2" s="20"/>
      <c r="C2" s="20"/>
      <c r="D2" s="20"/>
      <c r="E2" s="20"/>
      <c r="F2" s="20"/>
      <c r="G2" s="20"/>
      <c r="H2" s="20"/>
      <c r="I2" s="20"/>
      <c r="J2" s="20"/>
      <c r="K2" s="20"/>
      <c r="L2" s="20"/>
      <c r="M2" s="28"/>
      <c r="N2" s="30"/>
      <c r="O2" s="30"/>
      <c r="P2" s="30"/>
      <c r="Q2" s="30"/>
      <c r="R2" s="30"/>
      <c r="S2" s="30"/>
      <c r="T2" s="30"/>
      <c r="U2" s="30"/>
      <c r="V2" s="30"/>
      <c r="W2" s="30"/>
      <c r="X2" s="30"/>
      <c r="Y2" s="22"/>
    </row>
    <row r="3" spans="1:25" x14ac:dyDescent="0.3">
      <c r="A3" s="20"/>
      <c r="B3" s="20"/>
      <c r="C3" s="20"/>
      <c r="D3" s="20"/>
      <c r="E3" s="20"/>
      <c r="F3" s="20"/>
      <c r="G3" s="20"/>
      <c r="H3" s="20"/>
      <c r="I3" s="20"/>
      <c r="J3" s="20"/>
      <c r="K3" s="20"/>
      <c r="L3" s="20"/>
      <c r="M3" s="28"/>
      <c r="N3" s="30"/>
      <c r="O3" s="30"/>
      <c r="P3" s="30"/>
      <c r="Q3" s="30"/>
      <c r="R3" s="30"/>
      <c r="S3" s="30"/>
      <c r="T3" s="30"/>
      <c r="U3" s="30"/>
      <c r="V3" s="30"/>
      <c r="W3" s="30"/>
      <c r="X3" s="30"/>
      <c r="Y3" s="22"/>
    </row>
    <row r="4" spans="1:25" x14ac:dyDescent="0.3">
      <c r="A4" s="20"/>
      <c r="B4" s="20"/>
      <c r="C4" s="20"/>
      <c r="D4" s="20"/>
      <c r="E4" s="20"/>
      <c r="F4" s="20"/>
      <c r="G4" s="20"/>
      <c r="H4" s="20"/>
      <c r="I4" s="20"/>
      <c r="J4" s="20"/>
      <c r="K4" s="20"/>
      <c r="L4" s="20"/>
      <c r="M4" s="28"/>
      <c r="N4" s="30"/>
      <c r="O4" s="30"/>
      <c r="P4" s="30"/>
      <c r="Q4" s="30"/>
      <c r="R4" s="30"/>
      <c r="S4" s="30"/>
      <c r="T4" s="30"/>
      <c r="U4" s="30"/>
      <c r="V4" s="30"/>
      <c r="W4" s="30"/>
      <c r="X4" s="30"/>
      <c r="Y4" s="22"/>
    </row>
    <row r="5" spans="1:25" x14ac:dyDescent="0.3">
      <c r="A5" s="20"/>
      <c r="B5" s="20"/>
      <c r="C5" s="20"/>
      <c r="D5" s="20"/>
      <c r="E5" s="20"/>
      <c r="F5" s="20"/>
      <c r="G5" s="20"/>
      <c r="H5" s="20"/>
      <c r="I5" s="20"/>
      <c r="J5" s="20"/>
      <c r="K5" s="20"/>
      <c r="L5" s="20"/>
      <c r="M5" s="28"/>
      <c r="N5" s="30"/>
      <c r="O5" s="30"/>
      <c r="P5" s="30"/>
      <c r="Q5" s="30"/>
      <c r="R5" s="30"/>
      <c r="S5" s="30"/>
      <c r="T5" s="30"/>
      <c r="U5" s="30"/>
      <c r="V5" s="30"/>
      <c r="W5" s="30"/>
      <c r="X5" s="30"/>
      <c r="Y5" s="22"/>
    </row>
    <row r="6" spans="1:25" x14ac:dyDescent="0.3">
      <c r="A6" s="20"/>
      <c r="B6" s="20"/>
      <c r="C6" s="20"/>
      <c r="D6" s="20"/>
      <c r="E6" s="20"/>
      <c r="F6" s="20"/>
      <c r="G6" s="20"/>
      <c r="H6" s="20"/>
      <c r="I6" s="20"/>
      <c r="J6" s="20"/>
      <c r="K6" s="20"/>
      <c r="L6" s="20"/>
      <c r="M6" s="28"/>
      <c r="N6" s="30"/>
      <c r="O6" s="30"/>
      <c r="P6" s="30"/>
      <c r="Q6" s="30"/>
      <c r="R6" s="30"/>
      <c r="S6" s="30"/>
      <c r="T6" s="30"/>
      <c r="U6" s="30"/>
      <c r="V6" s="30"/>
      <c r="W6" s="30"/>
      <c r="X6" s="30"/>
      <c r="Y6" s="22"/>
    </row>
    <row r="7" spans="1:25" x14ac:dyDescent="0.3">
      <c r="A7" s="20"/>
      <c r="B7" s="20"/>
      <c r="C7" s="20"/>
      <c r="D7" s="20"/>
      <c r="E7" s="20"/>
      <c r="F7" s="20"/>
      <c r="G7" s="20"/>
      <c r="H7" s="20"/>
      <c r="I7" s="20"/>
      <c r="J7" s="20"/>
      <c r="K7" s="20"/>
      <c r="L7" s="20"/>
      <c r="M7" s="28"/>
      <c r="N7" s="30"/>
      <c r="O7" s="30"/>
      <c r="P7" s="30"/>
      <c r="Q7" s="30"/>
      <c r="R7" s="30"/>
      <c r="S7" s="30"/>
      <c r="T7" s="30"/>
      <c r="U7" s="30"/>
      <c r="V7" s="30"/>
      <c r="W7" s="30"/>
      <c r="X7" s="30"/>
      <c r="Y7" s="22"/>
    </row>
    <row r="8" spans="1:25" x14ac:dyDescent="0.3">
      <c r="A8" s="20"/>
      <c r="B8" s="20"/>
      <c r="C8" s="20"/>
      <c r="D8" s="20"/>
      <c r="E8" s="20"/>
      <c r="F8" s="20"/>
      <c r="G8" s="20"/>
      <c r="H8" s="20"/>
      <c r="I8" s="20"/>
      <c r="J8" s="20"/>
      <c r="K8" s="20"/>
      <c r="L8" s="20"/>
      <c r="M8" s="28"/>
      <c r="N8" s="30"/>
      <c r="O8" s="30"/>
      <c r="P8" s="30"/>
      <c r="Q8" s="30"/>
      <c r="R8" s="30"/>
      <c r="S8" s="30"/>
      <c r="T8" s="30"/>
      <c r="U8" s="30"/>
      <c r="V8" s="30"/>
      <c r="W8" s="30"/>
      <c r="X8" s="30"/>
      <c r="Y8" s="22"/>
    </row>
    <row r="9" spans="1:25" x14ac:dyDescent="0.3">
      <c r="A9" s="20"/>
      <c r="B9" s="20"/>
      <c r="C9" s="20"/>
      <c r="D9" s="20"/>
      <c r="E9" s="20"/>
      <c r="F9" s="20"/>
      <c r="G9" s="20"/>
      <c r="H9" s="20"/>
      <c r="I9" s="20"/>
      <c r="J9" s="20"/>
      <c r="K9" s="20"/>
      <c r="L9" s="20"/>
      <c r="M9" s="28"/>
      <c r="N9" s="30"/>
      <c r="O9" s="30"/>
      <c r="P9" s="30"/>
      <c r="Q9" s="30"/>
      <c r="R9" s="30"/>
      <c r="S9" s="30"/>
      <c r="T9" s="30"/>
      <c r="U9" s="30"/>
      <c r="V9" s="30"/>
      <c r="W9" s="30"/>
      <c r="X9" s="30"/>
      <c r="Y9" s="22"/>
    </row>
    <row r="10" spans="1:25" x14ac:dyDescent="0.3">
      <c r="A10" s="20"/>
      <c r="B10" s="20"/>
      <c r="C10" s="20"/>
      <c r="D10" s="20"/>
      <c r="E10" s="20"/>
      <c r="F10" s="20"/>
      <c r="G10" s="20"/>
      <c r="H10" s="20"/>
      <c r="I10" s="20"/>
      <c r="J10" s="20"/>
      <c r="K10" s="20"/>
      <c r="L10" s="20"/>
      <c r="M10" s="28"/>
      <c r="N10" s="30"/>
      <c r="O10" s="30"/>
      <c r="P10" s="30"/>
      <c r="Q10" s="30"/>
      <c r="R10" s="30"/>
      <c r="S10" s="30"/>
      <c r="T10" s="30"/>
      <c r="U10" s="30"/>
      <c r="V10" s="30"/>
      <c r="W10" s="30"/>
      <c r="X10" s="30"/>
      <c r="Y10" s="22"/>
    </row>
    <row r="11" spans="1:25" x14ac:dyDescent="0.3">
      <c r="A11" s="20"/>
      <c r="B11" s="20"/>
      <c r="C11" s="20"/>
      <c r="D11" s="20"/>
      <c r="E11" s="20"/>
      <c r="F11" s="20"/>
      <c r="G11" s="20"/>
      <c r="H11" s="20"/>
      <c r="I11" s="20"/>
      <c r="J11" s="20"/>
      <c r="K11" s="20"/>
      <c r="L11" s="20"/>
      <c r="M11" s="28"/>
      <c r="N11" s="30"/>
      <c r="O11" s="30"/>
      <c r="P11" s="30"/>
      <c r="Q11" s="30"/>
      <c r="R11" s="30"/>
      <c r="S11" s="30"/>
      <c r="T11" s="30"/>
      <c r="U11" s="30"/>
      <c r="V11" s="30"/>
      <c r="W11" s="30"/>
      <c r="X11" s="30"/>
      <c r="Y11" s="22"/>
    </row>
    <row r="12" spans="1:25" x14ac:dyDescent="0.3">
      <c r="A12" s="20"/>
      <c r="B12" s="20"/>
      <c r="C12" s="20"/>
      <c r="D12" s="20"/>
      <c r="E12" s="20"/>
      <c r="F12" s="20"/>
      <c r="G12" s="20"/>
      <c r="H12" s="20"/>
      <c r="I12" s="20"/>
      <c r="J12" s="20"/>
      <c r="K12" s="20"/>
      <c r="L12" s="20"/>
      <c r="M12" s="28"/>
      <c r="N12" s="30"/>
      <c r="O12" s="30"/>
      <c r="P12" s="30"/>
      <c r="Q12" s="30"/>
      <c r="R12" s="30"/>
      <c r="S12" s="30"/>
      <c r="T12" s="30"/>
      <c r="U12" s="30"/>
      <c r="V12" s="30"/>
      <c r="W12" s="30"/>
      <c r="X12" s="30"/>
      <c r="Y12" s="22"/>
    </row>
    <row r="13" spans="1:25" x14ac:dyDescent="0.3">
      <c r="A13" s="20"/>
      <c r="B13" s="20"/>
      <c r="C13" s="20"/>
      <c r="D13" s="20"/>
      <c r="E13" s="20"/>
      <c r="F13" s="20"/>
      <c r="G13" s="20"/>
      <c r="H13" s="20"/>
      <c r="I13" s="20"/>
      <c r="J13" s="20"/>
      <c r="K13" s="20"/>
      <c r="L13" s="20"/>
      <c r="M13" s="28"/>
      <c r="N13" s="30"/>
      <c r="O13" s="30"/>
      <c r="P13" s="30"/>
      <c r="Q13" s="30"/>
      <c r="R13" s="30"/>
      <c r="S13" s="30"/>
      <c r="T13" s="30"/>
      <c r="U13" s="30"/>
      <c r="V13" s="30"/>
      <c r="W13" s="30"/>
      <c r="X13" s="30"/>
      <c r="Y13" s="22"/>
    </row>
    <row r="14" spans="1:25" x14ac:dyDescent="0.3">
      <c r="A14" s="20"/>
      <c r="B14" s="20"/>
      <c r="C14" s="20"/>
      <c r="D14" s="20"/>
      <c r="E14" s="20"/>
      <c r="F14" s="20"/>
      <c r="G14" s="20"/>
      <c r="H14" s="20"/>
      <c r="I14" s="20"/>
      <c r="J14" s="20"/>
      <c r="K14" s="20"/>
      <c r="L14" s="20"/>
      <c r="M14" s="28"/>
      <c r="N14" s="30"/>
      <c r="O14" s="30"/>
      <c r="P14" s="30"/>
      <c r="Q14" s="30"/>
      <c r="R14" s="30"/>
      <c r="S14" s="30"/>
      <c r="T14" s="30"/>
      <c r="U14" s="30"/>
      <c r="V14" s="30"/>
      <c r="W14" s="30"/>
      <c r="X14" s="30"/>
      <c r="Y14" s="22"/>
    </row>
    <row r="15" spans="1:25" x14ac:dyDescent="0.3">
      <c r="A15" s="20"/>
      <c r="B15" s="20"/>
      <c r="C15" s="20"/>
      <c r="D15" s="20"/>
      <c r="E15" s="20"/>
      <c r="F15" s="20"/>
      <c r="G15" s="20"/>
      <c r="H15" s="20"/>
      <c r="I15" s="20"/>
      <c r="J15" s="20"/>
      <c r="K15" s="20"/>
      <c r="L15" s="20"/>
      <c r="M15" s="28"/>
      <c r="N15" s="30"/>
      <c r="O15" s="30"/>
      <c r="P15" s="30"/>
      <c r="Q15" s="30"/>
      <c r="R15" s="30"/>
      <c r="S15" s="30"/>
      <c r="T15" s="30"/>
      <c r="U15" s="30"/>
      <c r="V15" s="30"/>
      <c r="W15" s="30"/>
      <c r="X15" s="30"/>
      <c r="Y15" s="22"/>
    </row>
    <row r="16" spans="1:25" x14ac:dyDescent="0.3">
      <c r="A16" s="20"/>
      <c r="B16" s="20"/>
      <c r="C16" s="20"/>
      <c r="D16" s="20"/>
      <c r="E16" s="20"/>
      <c r="F16" s="20"/>
      <c r="G16" s="20"/>
      <c r="H16" s="20"/>
      <c r="I16" s="20"/>
      <c r="J16" s="20"/>
      <c r="K16" s="20"/>
      <c r="L16" s="20"/>
      <c r="M16" s="28"/>
      <c r="N16" s="30"/>
      <c r="O16" s="30"/>
      <c r="P16" s="30"/>
      <c r="Q16" s="30"/>
      <c r="R16" s="30"/>
      <c r="S16" s="30"/>
      <c r="T16" s="30"/>
      <c r="U16" s="30"/>
      <c r="V16" s="30"/>
      <c r="W16" s="30"/>
      <c r="X16" s="30"/>
      <c r="Y16" s="22"/>
    </row>
    <row r="17" spans="1:25" x14ac:dyDescent="0.3">
      <c r="A17" s="20"/>
      <c r="B17" s="20"/>
      <c r="C17" s="20"/>
      <c r="D17" s="20"/>
      <c r="E17" s="20"/>
      <c r="F17" s="20"/>
      <c r="G17" s="20"/>
      <c r="H17" s="20"/>
      <c r="I17" s="20"/>
      <c r="J17" s="20"/>
      <c r="K17" s="20"/>
      <c r="L17" s="20"/>
      <c r="M17" s="28"/>
      <c r="N17" s="30"/>
      <c r="O17" s="30"/>
      <c r="P17" s="30"/>
      <c r="Q17" s="30"/>
      <c r="R17" s="30"/>
      <c r="S17" s="30"/>
      <c r="T17" s="30"/>
      <c r="U17" s="30"/>
      <c r="V17" s="30"/>
      <c r="W17" s="30"/>
      <c r="X17" s="30"/>
      <c r="Y17" s="22"/>
    </row>
    <row r="18" spans="1:25" x14ac:dyDescent="0.3">
      <c r="A18" s="20"/>
      <c r="B18" s="20"/>
      <c r="C18" s="20"/>
      <c r="D18" s="20"/>
      <c r="E18" s="20"/>
      <c r="F18" s="20"/>
      <c r="G18" s="20"/>
      <c r="H18" s="20"/>
      <c r="I18" s="20"/>
      <c r="J18" s="20"/>
      <c r="K18" s="20"/>
      <c r="L18" s="20"/>
      <c r="M18" s="28"/>
      <c r="N18" s="30"/>
      <c r="O18" s="30"/>
      <c r="P18" s="30"/>
      <c r="Q18" s="30"/>
      <c r="R18" s="30"/>
      <c r="S18" s="30"/>
      <c r="T18" s="30"/>
      <c r="U18" s="30"/>
      <c r="V18" s="30"/>
      <c r="W18" s="30"/>
      <c r="X18" s="30"/>
      <c r="Y18" s="22"/>
    </row>
    <row r="19" spans="1:25" x14ac:dyDescent="0.3">
      <c r="A19" s="20"/>
      <c r="B19" s="20"/>
      <c r="C19" s="20"/>
      <c r="D19" s="20"/>
      <c r="E19" s="20"/>
      <c r="F19" s="20"/>
      <c r="G19" s="20"/>
      <c r="H19" s="20"/>
      <c r="I19" s="20"/>
      <c r="J19" s="20"/>
      <c r="K19" s="20"/>
      <c r="L19" s="20"/>
      <c r="M19" s="28"/>
      <c r="N19" s="30"/>
      <c r="O19" s="30"/>
      <c r="P19" s="30"/>
      <c r="Q19" s="30"/>
      <c r="R19" s="30"/>
      <c r="S19" s="30"/>
      <c r="T19" s="30"/>
      <c r="U19" s="30"/>
      <c r="V19" s="30"/>
      <c r="W19" s="30"/>
      <c r="X19" s="30"/>
      <c r="Y19" s="22"/>
    </row>
    <row r="20" spans="1:25" x14ac:dyDescent="0.3">
      <c r="A20" s="20"/>
      <c r="B20" s="20"/>
      <c r="C20" s="20"/>
      <c r="D20" s="20"/>
      <c r="E20" s="20"/>
      <c r="F20" s="20"/>
      <c r="G20" s="20"/>
      <c r="H20" s="20"/>
      <c r="I20" s="20"/>
      <c r="J20" s="20"/>
      <c r="K20" s="20"/>
      <c r="L20" s="20"/>
      <c r="M20" s="28"/>
      <c r="N20" s="30"/>
      <c r="O20" s="30"/>
      <c r="P20" s="30"/>
      <c r="Q20" s="30"/>
      <c r="R20" s="30"/>
      <c r="S20" s="30"/>
      <c r="T20" s="30"/>
      <c r="U20" s="30"/>
      <c r="V20" s="30"/>
      <c r="W20" s="30"/>
      <c r="X20" s="30"/>
      <c r="Y20" s="22"/>
    </row>
    <row r="21" spans="1:25" x14ac:dyDescent="0.3">
      <c r="A21" s="20"/>
      <c r="B21" s="20"/>
      <c r="C21" s="20"/>
      <c r="D21" s="20"/>
      <c r="E21" s="20"/>
      <c r="F21" s="20"/>
      <c r="G21" s="20"/>
      <c r="H21" s="20"/>
      <c r="I21" s="20"/>
      <c r="J21" s="20"/>
      <c r="K21" s="20"/>
      <c r="L21" s="20"/>
      <c r="M21" s="28"/>
      <c r="N21" s="30"/>
      <c r="O21" s="30"/>
      <c r="P21" s="30"/>
      <c r="Q21" s="30"/>
      <c r="R21" s="30"/>
      <c r="S21" s="30"/>
      <c r="T21" s="30"/>
      <c r="U21" s="30"/>
      <c r="V21" s="30"/>
      <c r="W21" s="30"/>
      <c r="X21" s="30"/>
      <c r="Y21" s="22"/>
    </row>
    <row r="22" spans="1:25" x14ac:dyDescent="0.3">
      <c r="A22" s="20"/>
      <c r="B22" s="20"/>
      <c r="C22" s="20"/>
      <c r="D22" s="20"/>
      <c r="E22" s="20"/>
      <c r="F22" s="20"/>
      <c r="G22" s="20"/>
      <c r="H22" s="20"/>
      <c r="I22" s="20"/>
      <c r="J22" s="20"/>
      <c r="K22" s="20"/>
      <c r="L22" s="20"/>
      <c r="M22" s="28"/>
      <c r="N22" s="30"/>
      <c r="O22" s="30"/>
      <c r="P22" s="30"/>
      <c r="Q22" s="30"/>
      <c r="R22" s="30"/>
      <c r="S22" s="30"/>
      <c r="T22" s="30"/>
      <c r="U22" s="30"/>
      <c r="V22" s="30"/>
      <c r="W22" s="30"/>
      <c r="X22" s="30"/>
      <c r="Y22" s="22"/>
    </row>
    <row r="23" spans="1:25" x14ac:dyDescent="0.3">
      <c r="A23" s="20"/>
      <c r="B23" s="20"/>
      <c r="C23" s="20"/>
      <c r="D23" s="20"/>
      <c r="E23" s="20"/>
      <c r="F23" s="20"/>
      <c r="G23" s="20"/>
      <c r="H23" s="20"/>
      <c r="I23" s="20"/>
      <c r="J23" s="20"/>
      <c r="K23" s="20"/>
      <c r="L23" s="20"/>
      <c r="M23" s="28"/>
      <c r="N23" s="30"/>
      <c r="O23" s="30"/>
      <c r="P23" s="30"/>
      <c r="Q23" s="30"/>
      <c r="R23" s="30"/>
      <c r="S23" s="30"/>
      <c r="T23" s="30"/>
      <c r="U23" s="30"/>
      <c r="V23" s="30"/>
      <c r="W23" s="30"/>
      <c r="X23" s="30"/>
      <c r="Y23" s="22"/>
    </row>
    <row r="24" spans="1:25" x14ac:dyDescent="0.3">
      <c r="A24" s="20"/>
      <c r="B24" s="20"/>
      <c r="C24" s="20"/>
      <c r="D24" s="20"/>
      <c r="E24" s="20"/>
      <c r="F24" s="20"/>
      <c r="G24" s="20"/>
      <c r="H24" s="20"/>
      <c r="I24" s="20"/>
      <c r="J24" s="20"/>
      <c r="K24" s="20"/>
      <c r="L24" s="20"/>
      <c r="M24" s="28"/>
      <c r="N24" s="30"/>
      <c r="O24" s="30"/>
      <c r="P24" s="30"/>
      <c r="Q24" s="30"/>
      <c r="R24" s="30"/>
      <c r="S24" s="30"/>
      <c r="T24" s="30"/>
      <c r="U24" s="30"/>
      <c r="V24" s="30"/>
      <c r="W24" s="30"/>
      <c r="X24" s="30"/>
      <c r="Y24" s="22"/>
    </row>
    <row r="25" spans="1:25" x14ac:dyDescent="0.3">
      <c r="A25" s="20"/>
      <c r="B25" s="20"/>
      <c r="C25" s="20"/>
      <c r="D25" s="20"/>
      <c r="E25" s="20"/>
      <c r="F25" s="20"/>
      <c r="G25" s="20"/>
      <c r="H25" s="20"/>
      <c r="I25" s="20"/>
      <c r="J25" s="20"/>
      <c r="K25" s="20"/>
      <c r="L25" s="20"/>
      <c r="M25" s="28"/>
      <c r="N25" s="30"/>
      <c r="O25" s="30"/>
      <c r="P25" s="30"/>
      <c r="Q25" s="30"/>
      <c r="R25" s="30"/>
      <c r="S25" s="30"/>
      <c r="T25" s="30"/>
      <c r="U25" s="30"/>
      <c r="V25" s="30"/>
      <c r="W25" s="30"/>
      <c r="X25" s="30"/>
      <c r="Y25" s="22"/>
    </row>
    <row r="26" spans="1:25" x14ac:dyDescent="0.3">
      <c r="A26" s="20"/>
      <c r="B26" s="20"/>
      <c r="C26" s="20"/>
      <c r="D26" s="20"/>
      <c r="E26" s="20"/>
      <c r="F26" s="20"/>
      <c r="G26" s="20"/>
      <c r="H26" s="20"/>
      <c r="I26" s="20"/>
      <c r="J26" s="20"/>
      <c r="K26" s="20"/>
      <c r="L26" s="20"/>
      <c r="M26" s="28"/>
      <c r="N26" s="30"/>
      <c r="O26" s="30"/>
      <c r="P26" s="30"/>
      <c r="Q26" s="30"/>
      <c r="R26" s="30"/>
      <c r="S26" s="30"/>
      <c r="T26" s="30"/>
      <c r="U26" s="30"/>
      <c r="V26" s="30"/>
      <c r="W26" s="30"/>
      <c r="X26" s="30"/>
      <c r="Y26" s="22"/>
    </row>
    <row r="27" spans="1:25" x14ac:dyDescent="0.3">
      <c r="A27" s="20"/>
      <c r="B27" s="20"/>
      <c r="C27" s="20"/>
      <c r="D27" s="20"/>
      <c r="E27" s="20"/>
      <c r="F27" s="20"/>
      <c r="G27" s="20"/>
      <c r="H27" s="20"/>
      <c r="I27" s="20"/>
      <c r="J27" s="20"/>
      <c r="K27" s="20"/>
      <c r="L27" s="20"/>
      <c r="M27" s="28"/>
      <c r="N27" s="30"/>
      <c r="O27" s="30"/>
      <c r="P27" s="30"/>
      <c r="Q27" s="30"/>
      <c r="R27" s="30"/>
      <c r="S27" s="30"/>
      <c r="T27" s="30"/>
      <c r="U27" s="30"/>
      <c r="V27" s="30"/>
      <c r="W27" s="30"/>
      <c r="X27" s="30"/>
      <c r="Y27" s="22"/>
    </row>
    <row r="28" spans="1:25" x14ac:dyDescent="0.3">
      <c r="A28" s="20"/>
      <c r="B28" s="20"/>
      <c r="C28" s="20"/>
      <c r="D28" s="20"/>
      <c r="E28" s="20"/>
      <c r="F28" s="20"/>
      <c r="G28" s="20"/>
      <c r="H28" s="20"/>
      <c r="I28" s="20"/>
      <c r="J28" s="20"/>
      <c r="K28" s="20"/>
      <c r="L28" s="20"/>
      <c r="M28" s="28"/>
      <c r="N28" s="30"/>
      <c r="O28" s="30"/>
      <c r="P28" s="30"/>
      <c r="Q28" s="30"/>
      <c r="R28" s="30"/>
      <c r="S28" s="30"/>
      <c r="T28" s="30"/>
      <c r="U28" s="30"/>
      <c r="V28" s="30"/>
      <c r="W28" s="30"/>
      <c r="X28" s="30"/>
      <c r="Y28" s="22"/>
    </row>
    <row r="29" spans="1:25" x14ac:dyDescent="0.3">
      <c r="A29" s="20"/>
      <c r="B29" s="20"/>
      <c r="C29" s="20"/>
      <c r="D29" s="20"/>
      <c r="E29" s="20"/>
      <c r="F29" s="20"/>
      <c r="G29" s="20"/>
      <c r="H29" s="20"/>
      <c r="I29" s="20"/>
      <c r="J29" s="20"/>
      <c r="K29" s="20"/>
      <c r="L29" s="20"/>
      <c r="M29" s="28"/>
      <c r="N29" s="30"/>
      <c r="O29" s="30"/>
      <c r="P29" s="30"/>
      <c r="Q29" s="30"/>
      <c r="R29" s="30"/>
      <c r="S29" s="30"/>
      <c r="T29" s="30"/>
      <c r="U29" s="30"/>
      <c r="V29" s="30"/>
      <c r="W29" s="30"/>
      <c r="X29" s="30"/>
      <c r="Y29" s="22"/>
    </row>
    <row r="30" spans="1:25" x14ac:dyDescent="0.3">
      <c r="A30" s="20"/>
      <c r="B30" s="20"/>
      <c r="C30" s="20"/>
      <c r="D30" s="20"/>
      <c r="E30" s="20"/>
      <c r="F30" s="20"/>
      <c r="G30" s="20"/>
      <c r="H30" s="20"/>
      <c r="I30" s="20"/>
      <c r="J30" s="20"/>
      <c r="K30" s="20"/>
      <c r="L30" s="20"/>
      <c r="M30" s="28"/>
      <c r="N30" s="30"/>
      <c r="O30" s="30"/>
      <c r="P30" s="30"/>
      <c r="Q30" s="30"/>
      <c r="R30" s="30"/>
      <c r="S30" s="30"/>
      <c r="T30" s="30"/>
      <c r="U30" s="30"/>
      <c r="V30" s="30"/>
      <c r="W30" s="30"/>
      <c r="X30" s="30"/>
      <c r="Y30" s="22"/>
    </row>
    <row r="31" spans="1:25" x14ac:dyDescent="0.3">
      <c r="A31" s="20"/>
      <c r="B31" s="20"/>
      <c r="C31" s="20"/>
      <c r="D31" s="20"/>
      <c r="E31" s="20"/>
      <c r="F31" s="20"/>
      <c r="G31" s="20"/>
      <c r="H31" s="20"/>
      <c r="I31" s="20"/>
      <c r="J31" s="20"/>
      <c r="K31" s="20"/>
      <c r="L31" s="20"/>
      <c r="M31" s="28"/>
      <c r="N31" s="30"/>
      <c r="O31" s="30"/>
      <c r="P31" s="30"/>
      <c r="Q31" s="30"/>
      <c r="R31" s="30"/>
      <c r="S31" s="30"/>
      <c r="T31" s="30"/>
      <c r="U31" s="30"/>
      <c r="V31" s="30"/>
      <c r="W31" s="30"/>
      <c r="X31" s="30"/>
      <c r="Y31" s="22"/>
    </row>
    <row r="32" spans="1:25" x14ac:dyDescent="0.3">
      <c r="A32" s="20"/>
      <c r="B32" s="20"/>
      <c r="C32" s="20"/>
      <c r="D32" s="20"/>
      <c r="E32" s="20"/>
      <c r="F32" s="20"/>
      <c r="G32" s="20"/>
      <c r="H32" s="20"/>
      <c r="I32" s="20"/>
      <c r="J32" s="20"/>
      <c r="K32" s="20"/>
      <c r="L32" s="20"/>
      <c r="M32" s="28"/>
      <c r="N32" s="30"/>
      <c r="O32" s="30"/>
      <c r="P32" s="30"/>
      <c r="Q32" s="30"/>
      <c r="R32" s="30"/>
      <c r="S32" s="30"/>
      <c r="T32" s="30"/>
      <c r="U32" s="30"/>
      <c r="V32" s="30"/>
      <c r="W32" s="30"/>
      <c r="X32" s="30"/>
      <c r="Y32" s="22"/>
    </row>
    <row r="33" spans="1:25" x14ac:dyDescent="0.3">
      <c r="A33" s="20"/>
      <c r="B33" s="20"/>
      <c r="C33" s="20"/>
      <c r="D33" s="20"/>
      <c r="E33" s="20"/>
      <c r="F33" s="20"/>
      <c r="G33" s="20"/>
      <c r="H33" s="20"/>
      <c r="I33" s="20"/>
      <c r="J33" s="20"/>
      <c r="K33" s="20"/>
      <c r="L33" s="20"/>
      <c r="M33" s="28"/>
      <c r="N33" s="30"/>
      <c r="O33" s="30"/>
      <c r="P33" s="30"/>
      <c r="Q33" s="30"/>
      <c r="R33" s="30"/>
      <c r="S33" s="30"/>
      <c r="T33" s="30"/>
      <c r="U33" s="30"/>
      <c r="V33" s="30"/>
      <c r="W33" s="30"/>
      <c r="X33" s="30"/>
      <c r="Y33" s="22"/>
    </row>
    <row r="34" spans="1:25" x14ac:dyDescent="0.3">
      <c r="A34" s="20"/>
      <c r="B34" s="20"/>
      <c r="C34" s="20"/>
      <c r="D34" s="20"/>
      <c r="E34" s="20"/>
      <c r="F34" s="20"/>
      <c r="G34" s="20"/>
      <c r="H34" s="20"/>
      <c r="I34" s="20"/>
      <c r="J34" s="20"/>
      <c r="K34" s="20"/>
      <c r="L34" s="20"/>
      <c r="M34" s="28"/>
      <c r="N34" s="30"/>
      <c r="O34" s="30"/>
      <c r="P34" s="30"/>
      <c r="Q34" s="30"/>
      <c r="R34" s="30"/>
      <c r="S34" s="30"/>
      <c r="T34" s="30"/>
      <c r="U34" s="30"/>
      <c r="V34" s="30"/>
      <c r="W34" s="30"/>
      <c r="X34" s="30"/>
      <c r="Y34" s="22"/>
    </row>
    <row r="35" spans="1:25" x14ac:dyDescent="0.3">
      <c r="A35" s="20"/>
      <c r="B35" s="20"/>
      <c r="C35" s="20"/>
      <c r="D35" s="20"/>
      <c r="E35" s="20"/>
      <c r="F35" s="20"/>
      <c r="G35" s="20"/>
      <c r="H35" s="20"/>
      <c r="I35" s="20"/>
      <c r="J35" s="20"/>
      <c r="K35" s="20"/>
      <c r="L35" s="20"/>
      <c r="M35" s="28"/>
      <c r="N35" s="30"/>
      <c r="O35" s="30"/>
      <c r="P35" s="30"/>
      <c r="Q35" s="30"/>
      <c r="R35" s="30"/>
      <c r="S35" s="30"/>
      <c r="T35" s="30"/>
      <c r="U35" s="30"/>
      <c r="V35" s="30"/>
      <c r="W35" s="30"/>
      <c r="X35" s="30"/>
      <c r="Y35" s="22"/>
    </row>
    <row r="36" spans="1:25" x14ac:dyDescent="0.3">
      <c r="A36" s="20"/>
      <c r="B36" s="20"/>
      <c r="C36" s="20"/>
      <c r="D36" s="20"/>
      <c r="E36" s="20"/>
      <c r="F36" s="20"/>
      <c r="G36" s="20"/>
      <c r="H36" s="20"/>
      <c r="I36" s="20"/>
      <c r="J36" s="20"/>
      <c r="K36" s="20"/>
      <c r="L36" s="20"/>
      <c r="M36" s="28"/>
      <c r="N36" s="30"/>
      <c r="O36" s="30"/>
      <c r="P36" s="30"/>
      <c r="Q36" s="30"/>
      <c r="R36" s="30"/>
      <c r="S36" s="30"/>
      <c r="T36" s="30"/>
      <c r="U36" s="30"/>
      <c r="V36" s="30"/>
      <c r="W36" s="30"/>
      <c r="X36" s="30"/>
      <c r="Y36" s="22"/>
    </row>
    <row r="37" spans="1:25" x14ac:dyDescent="0.3">
      <c r="A37" s="20"/>
      <c r="B37" s="20"/>
      <c r="C37" s="20"/>
      <c r="D37" s="20"/>
      <c r="E37" s="20"/>
      <c r="F37" s="20"/>
      <c r="G37" s="20"/>
      <c r="H37" s="20"/>
      <c r="I37" s="20"/>
      <c r="J37" s="20"/>
      <c r="K37" s="20"/>
      <c r="L37" s="20"/>
      <c r="M37" s="28"/>
      <c r="N37" s="30"/>
      <c r="O37" s="30"/>
      <c r="P37" s="30"/>
      <c r="Q37" s="30"/>
      <c r="R37" s="30"/>
      <c r="S37" s="30"/>
      <c r="T37" s="30"/>
      <c r="U37" s="30"/>
      <c r="V37" s="30"/>
      <c r="W37" s="30"/>
      <c r="X37" s="30"/>
      <c r="Y37" s="22"/>
    </row>
    <row r="38" spans="1:25" x14ac:dyDescent="0.3">
      <c r="A38" s="20"/>
      <c r="B38" s="20"/>
      <c r="C38" s="20"/>
      <c r="D38" s="20"/>
      <c r="E38" s="20"/>
      <c r="F38" s="20"/>
      <c r="G38" s="20"/>
      <c r="H38" s="20"/>
      <c r="I38" s="20"/>
      <c r="J38" s="20"/>
      <c r="K38" s="20"/>
      <c r="L38" s="20"/>
      <c r="M38" s="28"/>
      <c r="N38" s="30"/>
      <c r="O38" s="30"/>
      <c r="P38" s="30"/>
      <c r="Q38" s="30"/>
      <c r="R38" s="30"/>
      <c r="S38" s="30"/>
      <c r="T38" s="30"/>
      <c r="U38" s="30"/>
      <c r="V38" s="30"/>
      <c r="W38" s="30"/>
      <c r="X38" s="30"/>
      <c r="Y38" s="22"/>
    </row>
    <row r="39" spans="1:25" x14ac:dyDescent="0.3">
      <c r="A39" s="20"/>
      <c r="B39" s="20"/>
      <c r="C39" s="20"/>
      <c r="D39" s="20"/>
      <c r="E39" s="20"/>
      <c r="F39" s="20"/>
      <c r="G39" s="20"/>
      <c r="H39" s="20"/>
      <c r="I39" s="20"/>
      <c r="J39" s="20"/>
      <c r="K39" s="20"/>
      <c r="L39" s="20"/>
      <c r="M39" s="28"/>
      <c r="N39" s="30"/>
      <c r="O39" s="30"/>
      <c r="P39" s="30"/>
      <c r="Q39" s="30"/>
      <c r="R39" s="30"/>
      <c r="S39" s="30"/>
      <c r="T39" s="30"/>
      <c r="U39" s="30"/>
      <c r="V39" s="30"/>
      <c r="W39" s="30"/>
      <c r="X39" s="30"/>
      <c r="Y39" s="22"/>
    </row>
    <row r="40" spans="1:25" x14ac:dyDescent="0.3">
      <c r="A40" s="20"/>
      <c r="B40" s="20"/>
      <c r="C40" s="20"/>
      <c r="D40" s="20"/>
      <c r="E40" s="20"/>
      <c r="F40" s="20"/>
      <c r="G40" s="20"/>
      <c r="H40" s="20"/>
      <c r="I40" s="20"/>
      <c r="J40" s="20"/>
      <c r="K40" s="20"/>
      <c r="L40" s="20"/>
      <c r="M40" s="28"/>
      <c r="N40" s="30"/>
      <c r="O40" s="30"/>
      <c r="P40" s="30"/>
      <c r="Q40" s="30"/>
      <c r="R40" s="30"/>
      <c r="S40" s="30"/>
      <c r="T40" s="30"/>
      <c r="U40" s="30"/>
      <c r="V40" s="30"/>
      <c r="W40" s="30"/>
      <c r="X40" s="30"/>
      <c r="Y40" s="22"/>
    </row>
    <row r="41" spans="1:25" x14ac:dyDescent="0.3">
      <c r="A41" s="20"/>
      <c r="B41" s="20"/>
      <c r="C41" s="20"/>
      <c r="D41" s="20"/>
      <c r="E41" s="20"/>
      <c r="F41" s="20"/>
      <c r="G41" s="20"/>
      <c r="H41" s="20"/>
      <c r="I41" s="20"/>
      <c r="J41" s="20"/>
      <c r="K41" s="20"/>
      <c r="L41" s="20"/>
      <c r="M41" s="28"/>
      <c r="N41" s="30"/>
      <c r="O41" s="30"/>
      <c r="P41" s="30"/>
      <c r="Q41" s="30"/>
      <c r="R41" s="30"/>
      <c r="S41" s="30"/>
      <c r="T41" s="30"/>
      <c r="U41" s="30"/>
      <c r="V41" s="30"/>
      <c r="W41" s="30"/>
      <c r="X41" s="30"/>
      <c r="Y41" s="22"/>
    </row>
    <row r="42" spans="1:25" x14ac:dyDescent="0.3">
      <c r="A42" s="20"/>
      <c r="B42" s="20"/>
      <c r="C42" s="20"/>
      <c r="D42" s="20"/>
      <c r="E42" s="20"/>
      <c r="F42" s="20"/>
      <c r="G42" s="20"/>
      <c r="H42" s="20"/>
      <c r="I42" s="20"/>
      <c r="J42" s="20"/>
      <c r="K42" s="20"/>
      <c r="L42" s="20"/>
      <c r="M42" s="28"/>
      <c r="N42" s="30"/>
      <c r="O42" s="30"/>
      <c r="P42" s="30"/>
      <c r="Q42" s="30"/>
      <c r="R42" s="30"/>
      <c r="S42" s="30"/>
      <c r="T42" s="30"/>
      <c r="U42" s="30"/>
      <c r="V42" s="30"/>
      <c r="W42" s="30"/>
      <c r="X42" s="30"/>
      <c r="Y42" s="22"/>
    </row>
    <row r="43" spans="1:25" x14ac:dyDescent="0.3">
      <c r="A43" s="20"/>
      <c r="B43" s="20"/>
      <c r="C43" s="20"/>
      <c r="D43" s="20"/>
      <c r="E43" s="20"/>
      <c r="F43" s="20"/>
      <c r="G43" s="20"/>
      <c r="H43" s="20"/>
      <c r="I43" s="20"/>
      <c r="J43" s="20"/>
      <c r="K43" s="20"/>
      <c r="L43" s="20"/>
      <c r="M43" s="28"/>
      <c r="N43" s="30"/>
      <c r="O43" s="30"/>
      <c r="P43" s="30"/>
      <c r="Q43" s="30"/>
      <c r="R43" s="30"/>
      <c r="S43" s="30"/>
      <c r="T43" s="30"/>
      <c r="U43" s="30"/>
      <c r="V43" s="30"/>
      <c r="W43" s="30"/>
      <c r="X43" s="30"/>
      <c r="Y43" s="22"/>
    </row>
    <row r="44" spans="1:25" x14ac:dyDescent="0.3">
      <c r="A44" s="20"/>
      <c r="B44" s="20"/>
      <c r="C44" s="20"/>
      <c r="D44" s="20"/>
      <c r="E44" s="20"/>
      <c r="F44" s="20"/>
      <c r="G44" s="20"/>
      <c r="H44" s="20"/>
      <c r="I44" s="20"/>
      <c r="J44" s="20"/>
      <c r="K44" s="20"/>
      <c r="L44" s="20"/>
      <c r="M44" s="28"/>
      <c r="N44" s="30"/>
      <c r="O44" s="30"/>
      <c r="P44" s="30"/>
      <c r="Q44" s="30"/>
      <c r="R44" s="30"/>
      <c r="S44" s="30"/>
      <c r="T44" s="30"/>
      <c r="U44" s="30"/>
      <c r="V44" s="30"/>
      <c r="W44" s="30"/>
      <c r="X44" s="30"/>
      <c r="Y44" s="22"/>
    </row>
    <row r="45" spans="1:25" x14ac:dyDescent="0.3">
      <c r="A45" s="20"/>
      <c r="B45" s="20"/>
      <c r="C45" s="20"/>
      <c r="D45" s="20"/>
      <c r="E45" s="20"/>
      <c r="F45" s="20"/>
      <c r="G45" s="20"/>
      <c r="H45" s="20"/>
      <c r="I45" s="20"/>
      <c r="J45" s="20"/>
      <c r="K45" s="20"/>
      <c r="L45" s="20"/>
      <c r="M45" s="28"/>
      <c r="N45" s="30"/>
      <c r="O45" s="30"/>
      <c r="P45" s="30"/>
      <c r="Q45" s="30"/>
      <c r="R45" s="30"/>
      <c r="S45" s="30"/>
      <c r="T45" s="30"/>
      <c r="U45" s="30"/>
      <c r="V45" s="30"/>
      <c r="W45" s="30"/>
      <c r="X45" s="30"/>
      <c r="Y45" s="22"/>
    </row>
    <row r="46" spans="1:25" x14ac:dyDescent="0.3">
      <c r="A46" s="20"/>
      <c r="B46" s="20"/>
      <c r="C46" s="20"/>
      <c r="D46" s="20"/>
      <c r="E46" s="20"/>
      <c r="F46" s="20"/>
      <c r="G46" s="20"/>
      <c r="H46" s="20"/>
      <c r="I46" s="20"/>
      <c r="J46" s="20"/>
      <c r="K46" s="20"/>
      <c r="L46" s="20"/>
      <c r="M46" s="28"/>
      <c r="N46" s="30"/>
      <c r="O46" s="30"/>
      <c r="P46" s="30"/>
      <c r="Q46" s="30"/>
      <c r="R46" s="30"/>
      <c r="S46" s="30"/>
      <c r="T46" s="30"/>
      <c r="U46" s="30"/>
      <c r="V46" s="30"/>
      <c r="W46" s="30"/>
      <c r="X46" s="30"/>
      <c r="Y46" s="22"/>
    </row>
    <row r="47" spans="1:25" x14ac:dyDescent="0.3">
      <c r="A47" s="20"/>
      <c r="B47" s="20"/>
      <c r="C47" s="20"/>
      <c r="D47" s="20"/>
      <c r="E47" s="20"/>
      <c r="F47" s="20"/>
      <c r="G47" s="20"/>
      <c r="H47" s="20"/>
      <c r="I47" s="20"/>
      <c r="J47" s="20"/>
      <c r="K47" s="20"/>
      <c r="L47" s="20"/>
      <c r="M47" s="28"/>
      <c r="N47" s="30"/>
      <c r="O47" s="30"/>
      <c r="P47" s="30"/>
      <c r="Q47" s="30"/>
      <c r="R47" s="30"/>
      <c r="S47" s="30"/>
      <c r="T47" s="30"/>
      <c r="U47" s="30"/>
      <c r="V47" s="30"/>
      <c r="W47" s="30"/>
      <c r="X47" s="30"/>
      <c r="Y47" s="22"/>
    </row>
    <row r="48" spans="1:25" x14ac:dyDescent="0.3">
      <c r="A48" s="20"/>
      <c r="B48" s="20"/>
      <c r="C48" s="20"/>
      <c r="D48" s="20"/>
      <c r="E48" s="20"/>
      <c r="F48" s="20"/>
      <c r="G48" s="20"/>
      <c r="H48" s="20"/>
      <c r="I48" s="20"/>
      <c r="J48" s="20"/>
      <c r="K48" s="20"/>
      <c r="L48" s="20"/>
      <c r="M48" s="28"/>
      <c r="N48" s="30"/>
      <c r="O48" s="30"/>
      <c r="P48" s="30"/>
      <c r="Q48" s="30"/>
      <c r="R48" s="30"/>
      <c r="S48" s="30"/>
      <c r="T48" s="30"/>
      <c r="U48" s="30"/>
      <c r="V48" s="30"/>
      <c r="W48" s="30"/>
      <c r="X48" s="30"/>
      <c r="Y48" s="22"/>
    </row>
    <row r="49" spans="1:25" x14ac:dyDescent="0.3">
      <c r="A49" s="20"/>
      <c r="B49" s="20"/>
      <c r="C49" s="20"/>
      <c r="D49" s="20"/>
      <c r="E49" s="20"/>
      <c r="F49" s="20"/>
      <c r="G49" s="20"/>
      <c r="H49" s="20"/>
      <c r="I49" s="20"/>
      <c r="J49" s="20"/>
      <c r="K49" s="20"/>
      <c r="L49" s="20"/>
      <c r="M49" s="28"/>
      <c r="N49" s="30"/>
      <c r="O49" s="30"/>
      <c r="P49" s="30"/>
      <c r="Q49" s="30"/>
      <c r="R49" s="30"/>
      <c r="S49" s="30"/>
      <c r="T49" s="30"/>
      <c r="U49" s="30"/>
      <c r="V49" s="30"/>
      <c r="W49" s="30"/>
      <c r="X49" s="30"/>
      <c r="Y49" s="22"/>
    </row>
    <row r="50" spans="1:25" x14ac:dyDescent="0.3">
      <c r="A50" s="20"/>
      <c r="B50" s="20"/>
      <c r="C50" s="20"/>
      <c r="D50" s="20"/>
      <c r="E50" s="20"/>
      <c r="F50" s="20"/>
      <c r="G50" s="20"/>
      <c r="H50" s="20"/>
      <c r="I50" s="20"/>
      <c r="J50" s="20"/>
      <c r="K50" s="20"/>
      <c r="L50" s="20"/>
      <c r="M50" s="28"/>
      <c r="N50" s="30"/>
      <c r="O50" s="30"/>
      <c r="P50" s="30"/>
      <c r="Q50" s="30"/>
      <c r="R50" s="30"/>
      <c r="S50" s="30"/>
      <c r="T50" s="30"/>
      <c r="U50" s="30"/>
      <c r="V50" s="30"/>
      <c r="W50" s="30"/>
      <c r="X50" s="30"/>
      <c r="Y50" s="22"/>
    </row>
    <row r="51" spans="1:25" x14ac:dyDescent="0.3">
      <c r="A51" s="20"/>
      <c r="B51" s="20"/>
      <c r="C51" s="20"/>
      <c r="D51" s="20"/>
      <c r="E51" s="20"/>
      <c r="F51" s="20"/>
      <c r="G51" s="20"/>
      <c r="H51" s="20"/>
      <c r="I51" s="20"/>
      <c r="J51" s="20"/>
      <c r="K51" s="20"/>
      <c r="L51" s="20"/>
      <c r="M51" s="28"/>
      <c r="N51" s="30"/>
      <c r="O51" s="30"/>
      <c r="P51" s="30"/>
      <c r="Q51" s="30"/>
      <c r="R51" s="30"/>
      <c r="S51" s="30"/>
      <c r="T51" s="30"/>
      <c r="U51" s="30"/>
      <c r="V51" s="30"/>
      <c r="W51" s="30"/>
      <c r="X51" s="30"/>
      <c r="Y51" s="22"/>
    </row>
    <row r="52" spans="1:25" x14ac:dyDescent="0.3">
      <c r="A52" s="20"/>
      <c r="B52" s="20"/>
      <c r="C52" s="20"/>
      <c r="D52" s="20"/>
      <c r="E52" s="20"/>
      <c r="F52" s="20"/>
      <c r="G52" s="20"/>
      <c r="H52" s="20"/>
      <c r="I52" s="20"/>
      <c r="J52" s="20"/>
      <c r="K52" s="20"/>
      <c r="L52" s="20"/>
      <c r="M52" s="28"/>
      <c r="N52" s="30"/>
      <c r="O52" s="30"/>
      <c r="P52" s="30"/>
      <c r="Q52" s="30"/>
      <c r="R52" s="30"/>
      <c r="S52" s="30"/>
      <c r="T52" s="30"/>
      <c r="U52" s="30"/>
      <c r="V52" s="30"/>
      <c r="W52" s="30"/>
      <c r="X52" s="30"/>
      <c r="Y52" s="22"/>
    </row>
    <row r="53" spans="1:25" x14ac:dyDescent="0.3">
      <c r="A53" s="20"/>
      <c r="B53" s="20"/>
      <c r="C53" s="20"/>
      <c r="D53" s="20"/>
      <c r="E53" s="20"/>
      <c r="F53" s="20"/>
      <c r="G53" s="20"/>
      <c r="H53" s="20"/>
      <c r="I53" s="20"/>
      <c r="J53" s="20"/>
      <c r="K53" s="20"/>
      <c r="L53" s="20"/>
      <c r="M53" s="28"/>
      <c r="N53" s="30"/>
      <c r="O53" s="30"/>
      <c r="P53" s="30"/>
      <c r="Q53" s="30"/>
      <c r="R53" s="30"/>
      <c r="S53" s="30"/>
      <c r="T53" s="30"/>
      <c r="U53" s="30"/>
      <c r="V53" s="30"/>
      <c r="W53" s="30"/>
      <c r="X53" s="30"/>
      <c r="Y53" s="22"/>
    </row>
    <row r="54" spans="1:25" x14ac:dyDescent="0.3">
      <c r="A54" s="20"/>
      <c r="B54" s="20"/>
      <c r="C54" s="20"/>
      <c r="D54" s="20"/>
      <c r="E54" s="20"/>
      <c r="F54" s="20"/>
      <c r="G54" s="20"/>
      <c r="H54" s="20"/>
      <c r="I54" s="20"/>
      <c r="J54" s="20"/>
      <c r="K54" s="20"/>
      <c r="L54" s="20"/>
      <c r="M54" s="28"/>
      <c r="N54" s="30"/>
      <c r="O54" s="30"/>
      <c r="P54" s="30"/>
      <c r="Q54" s="30"/>
      <c r="R54" s="30"/>
      <c r="S54" s="30"/>
      <c r="T54" s="30"/>
      <c r="U54" s="30"/>
      <c r="V54" s="30"/>
      <c r="W54" s="30"/>
      <c r="X54" s="30"/>
      <c r="Y54" s="22"/>
    </row>
    <row r="55" spans="1:25" x14ac:dyDescent="0.3">
      <c r="A55" s="20"/>
      <c r="B55" s="20"/>
      <c r="C55" s="20"/>
      <c r="D55" s="20"/>
      <c r="E55" s="20"/>
      <c r="F55" s="20"/>
      <c r="G55" s="20"/>
      <c r="H55" s="20"/>
      <c r="I55" s="20"/>
      <c r="J55" s="20"/>
      <c r="K55" s="20"/>
      <c r="L55" s="20"/>
      <c r="M55" s="28"/>
      <c r="N55" s="30"/>
      <c r="O55" s="30"/>
      <c r="P55" s="30"/>
      <c r="Q55" s="30"/>
      <c r="R55" s="30"/>
      <c r="S55" s="30"/>
      <c r="T55" s="30"/>
      <c r="U55" s="30"/>
      <c r="V55" s="30"/>
      <c r="W55" s="30"/>
      <c r="X55" s="30"/>
      <c r="Y55" s="22"/>
    </row>
    <row r="56" spans="1:25" x14ac:dyDescent="0.3">
      <c r="A56" s="20"/>
      <c r="B56" s="20"/>
      <c r="C56" s="20"/>
      <c r="D56" s="20"/>
      <c r="E56" s="20"/>
      <c r="F56" s="20"/>
      <c r="G56" s="20"/>
      <c r="H56" s="20"/>
      <c r="I56" s="20"/>
      <c r="J56" s="20"/>
      <c r="K56" s="20"/>
      <c r="L56" s="20"/>
      <c r="M56" s="28"/>
      <c r="N56" s="30"/>
      <c r="O56" s="30"/>
      <c r="P56" s="30"/>
      <c r="Q56" s="30"/>
      <c r="R56" s="30"/>
      <c r="S56" s="30"/>
      <c r="T56" s="30"/>
      <c r="U56" s="30"/>
      <c r="V56" s="30"/>
      <c r="W56" s="30"/>
      <c r="X56" s="30"/>
      <c r="Y56" s="22"/>
    </row>
    <row r="57" spans="1:25" x14ac:dyDescent="0.3">
      <c r="A57" s="20"/>
      <c r="B57" s="20"/>
      <c r="C57" s="20"/>
      <c r="D57" s="20"/>
      <c r="E57" s="20"/>
      <c r="F57" s="20"/>
      <c r="G57" s="20"/>
      <c r="H57" s="20"/>
      <c r="I57" s="20"/>
      <c r="J57" s="20"/>
      <c r="K57" s="20"/>
      <c r="L57" s="20"/>
      <c r="M57" s="28"/>
      <c r="N57" s="30"/>
      <c r="O57" s="30"/>
      <c r="P57" s="30"/>
      <c r="Q57" s="30"/>
      <c r="R57" s="30"/>
      <c r="S57" s="30"/>
      <c r="T57" s="30"/>
      <c r="U57" s="30"/>
      <c r="V57" s="30"/>
      <c r="W57" s="30"/>
      <c r="X57" s="30"/>
      <c r="Y57" s="22"/>
    </row>
    <row r="58" spans="1:25" x14ac:dyDescent="0.3">
      <c r="A58" s="20"/>
      <c r="B58" s="20"/>
      <c r="C58" s="20"/>
      <c r="D58" s="20"/>
      <c r="E58" s="20"/>
      <c r="F58" s="20"/>
      <c r="G58" s="20"/>
      <c r="H58" s="20"/>
      <c r="I58" s="20"/>
      <c r="J58" s="20"/>
      <c r="K58" s="20"/>
      <c r="L58" s="20"/>
      <c r="M58" s="28"/>
      <c r="N58" s="30"/>
      <c r="O58" s="30"/>
      <c r="P58" s="30"/>
      <c r="Q58" s="30"/>
      <c r="R58" s="30"/>
      <c r="S58" s="30"/>
      <c r="T58" s="30"/>
      <c r="U58" s="30"/>
      <c r="V58" s="30"/>
      <c r="W58" s="30"/>
      <c r="X58" s="30"/>
      <c r="Y58" s="22"/>
    </row>
    <row r="59" spans="1:25" x14ac:dyDescent="0.3">
      <c r="A59" s="20"/>
      <c r="B59" s="20"/>
      <c r="C59" s="20"/>
      <c r="D59" s="20"/>
      <c r="E59" s="20"/>
      <c r="F59" s="20"/>
      <c r="G59" s="20"/>
      <c r="H59" s="20"/>
      <c r="I59" s="20"/>
      <c r="J59" s="20"/>
      <c r="K59" s="20"/>
      <c r="L59" s="20"/>
      <c r="M59" s="20"/>
      <c r="N59" s="29"/>
      <c r="O59" s="29"/>
      <c r="P59" s="29"/>
      <c r="Q59" s="29"/>
      <c r="R59" s="29"/>
      <c r="S59" s="29"/>
      <c r="T59" s="29"/>
      <c r="U59" s="29"/>
      <c r="V59" s="29"/>
      <c r="W59" s="29"/>
      <c r="X59" s="29"/>
      <c r="Y59" s="20"/>
    </row>
    <row r="60" spans="1:25"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spans="1:25"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spans="1:25"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spans="1:25"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spans="1:25"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spans="1:25"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spans="1:25"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spans="1:25"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spans="1:25"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spans="1:25"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spans="1:25"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spans="1:25"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spans="1:25"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spans="1:25"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spans="1:25"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spans="1:25"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spans="1:25"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spans="1:25"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spans="1:25"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spans="1:25"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spans="1:25"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spans="1:25"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spans="1:25"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spans="1:25"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spans="1:25"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spans="1:25"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spans="1:25"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spans="1:25"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spans="1:25"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spans="1:25"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spans="1:25"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spans="1:25"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spans="1:25"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spans="1:25"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spans="1:25"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spans="1:25"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spans="1:25"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spans="1:25"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spans="1:25"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spans="1:25"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spans="1:25"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spans="1:25"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spans="1:25"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spans="1:25"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spans="1:25"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spans="1:25"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spans="1:25"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spans="1:25"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spans="1:25"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spans="1:25"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spans="1:25"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25"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spans="1:25"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spans="1:25"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spans="1:25"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spans="1:25"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spans="1:25"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spans="1:25"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spans="1:25"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spans="1:25"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spans="1:25"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spans="1:25"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spans="1:25"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spans="1:25"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spans="1:25"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spans="1:25"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spans="1:25"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spans="1:25"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spans="1:25"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spans="1:25"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spans="1:25"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spans="1:25"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spans="1:25"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spans="1:25"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spans="1:25"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spans="1:25"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spans="1:25"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spans="1:25"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spans="1:25"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spans="1:25"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spans="1:25"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spans="1:25"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spans="1:25"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spans="1:25"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spans="1:25"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spans="1:25"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spans="1:25"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spans="1:25"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spans="1:25"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spans="1:25"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spans="1:25"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spans="1:25"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spans="1:25"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spans="1:25"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spans="1:25"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spans="1:25"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spans="1:25"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spans="1:25"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spans="1:25"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spans="1:25"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spans="1:25"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spans="1:25"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spans="1:25"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spans="1:25"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spans="1:25"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spans="1:25"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spans="1:25"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spans="1:25"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spans="1:25"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spans="1:25"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spans="1:25"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spans="1:25"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spans="1:25"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spans="1:25"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spans="1:25"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spans="1:25"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spans="1:25"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spans="1:25"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spans="1:25"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spans="1:25"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spans="1:25"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spans="1:25"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spans="1:25"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spans="1:25"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spans="1:25"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spans="1:25"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spans="1:25"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spans="1:25"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spans="1:25"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spans="1:25"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spans="1:25"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spans="1:25"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spans="1:25"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spans="1:25"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spans="1:25"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spans="1:25"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spans="1:25"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spans="1:25"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spans="1:25"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spans="1:25"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spans="1:25"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spans="1:25"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spans="1:25"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spans="1:25"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spans="1:25"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spans="1:25"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spans="1:25"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spans="1:25"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spans="1:25"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spans="1:25"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spans="1:25"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spans="1:25"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spans="1:25"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spans="1:25"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spans="1:25"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spans="1:25"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spans="1:25"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spans="1:25"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spans="1:25"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spans="1:25"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spans="1:25"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spans="1:25"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spans="1:25"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spans="1:25"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spans="1:25"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spans="1:25"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spans="1:25"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spans="1:25"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spans="1:25"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spans="1:25"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spans="1:25"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spans="1:25"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spans="1:25"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spans="1:25"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spans="1:25"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spans="1:25"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spans="1:25"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spans="1:25"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spans="1:25"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spans="1:25"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spans="1:25"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spans="1:25"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spans="1:25"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spans="1:25"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spans="1:25"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spans="1:25"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spans="1:25"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spans="1:25"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spans="1:25"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spans="1:25"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spans="1:25"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spans="1:25"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spans="1:25"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spans="1:25"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spans="1:25"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spans="1:25"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spans="1:25"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spans="1:25"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spans="1:25"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spans="1:25"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spans="1:25"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spans="1:25"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spans="1:25"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spans="1:25"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spans="1:25"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spans="1:25"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spans="1:25"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spans="1:25"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spans="1:25"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spans="1:25"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spans="1:25"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spans="1:25"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spans="1:25"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spans="1:25"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spans="1:25"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spans="1:25"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spans="1:25"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spans="1:25"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spans="1:25"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spans="1:25"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spans="1:25"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spans="1:25"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spans="1:25"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spans="1:25"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spans="1:25"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spans="1:25"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spans="1:25"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spans="1:25"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spans="1:25"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spans="1:25"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spans="1:25"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spans="1:25"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spans="1:25"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spans="1:25"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spans="1:25"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spans="1:25"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spans="1:25"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spans="1:25"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spans="1:25"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spans="1:25"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spans="1:25"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spans="1:25"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spans="1:25"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spans="1:25"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spans="1:25"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spans="1:25"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spans="1:25"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spans="1:25"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spans="1:25"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spans="1:25"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spans="1:25"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spans="1:25"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spans="1:25"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spans="1:25"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spans="1:25"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spans="1:25"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spans="1:25"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spans="1:25"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spans="1:25"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spans="1:25"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spans="1:25"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spans="1:25"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spans="1:25"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spans="1:25"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spans="1:25"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spans="1:25"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spans="1:25"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spans="1:25"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spans="1:25"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spans="1:25"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spans="1:25"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spans="1:25"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spans="1:25"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spans="1:25"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spans="1:25"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spans="1:25"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spans="1:25"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spans="1:25"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spans="1:25"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spans="1:25"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spans="1:25"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spans="1:25"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spans="1:25"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spans="1:25"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spans="1:25"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spans="1:25"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spans="1:25"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spans="1:25"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spans="1:25"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spans="1:25"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spans="1:25"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spans="1:25"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spans="1:25"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spans="1:25"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spans="1:25"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spans="1:25"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spans="1:25"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spans="1:25"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spans="1:25"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spans="1:25"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spans="1:25"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spans="1:25"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spans="1:25"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spans="1:25"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spans="1:25"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spans="1:25"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spans="1:25"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spans="1:25"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spans="1:25"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spans="1:25"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spans="1:25"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spans="1:25"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spans="1:25"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spans="1:25"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spans="1:25"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spans="1:25"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spans="1:25"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spans="1:25"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spans="1:25"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spans="1:25"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spans="1:25"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spans="1:25"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spans="1:25"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spans="1:25"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spans="1:25"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spans="1:25"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spans="1:25"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spans="1:25"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spans="1:25"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spans="1:25"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spans="1:25"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spans="1:25"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spans="1:25"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spans="1:25"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spans="1:25"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spans="1:25"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spans="1:25"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spans="1:25"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spans="1:25"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spans="1:25"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spans="1:25"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spans="1:25"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spans="1:25"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spans="1:25"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spans="1:25"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spans="1:25"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spans="1:25"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spans="1:25"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spans="1:25"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spans="1:25" x14ac:dyDescent="0.3">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spans="1:25" x14ac:dyDescent="0.3">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spans="1:25" x14ac:dyDescent="0.3">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spans="1:25" x14ac:dyDescent="0.3">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spans="1:25" x14ac:dyDescent="0.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spans="1:25" x14ac:dyDescent="0.3">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spans="1:25" x14ac:dyDescent="0.3">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spans="1:25" x14ac:dyDescent="0.3">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spans="1:25" x14ac:dyDescent="0.3">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spans="1:25" x14ac:dyDescent="0.3">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spans="1:25" x14ac:dyDescent="0.3">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spans="1:25" x14ac:dyDescent="0.3">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spans="1:25" x14ac:dyDescent="0.3">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spans="1:25" x14ac:dyDescent="0.3">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spans="1:25" x14ac:dyDescent="0.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spans="1:25" x14ac:dyDescent="0.3">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spans="1:25" x14ac:dyDescent="0.3">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spans="1:25" x14ac:dyDescent="0.3">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spans="1:25" x14ac:dyDescent="0.3">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spans="1:25" x14ac:dyDescent="0.3">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spans="1:25" x14ac:dyDescent="0.3">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spans="1:25" x14ac:dyDescent="0.3">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spans="1:25" x14ac:dyDescent="0.3">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spans="1:25" x14ac:dyDescent="0.3">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spans="1:25" x14ac:dyDescent="0.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spans="1:25" x14ac:dyDescent="0.3">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spans="1:25" x14ac:dyDescent="0.3">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spans="1:25" x14ac:dyDescent="0.3">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spans="1:25" x14ac:dyDescent="0.3">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spans="1:25" x14ac:dyDescent="0.3">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spans="1:25" x14ac:dyDescent="0.3">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spans="1:25" x14ac:dyDescent="0.3">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spans="1:25" x14ac:dyDescent="0.3">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spans="1:25" x14ac:dyDescent="0.3">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spans="1:25" x14ac:dyDescent="0.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spans="1:25" x14ac:dyDescent="0.3">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spans="1:25" x14ac:dyDescent="0.3">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spans="1:25" x14ac:dyDescent="0.3">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spans="1:25" x14ac:dyDescent="0.3">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spans="1:25" x14ac:dyDescent="0.3">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spans="1:25" x14ac:dyDescent="0.3">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spans="1:25" x14ac:dyDescent="0.3">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spans="1:25" x14ac:dyDescent="0.3">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spans="1:25" x14ac:dyDescent="0.3">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spans="1:25" x14ac:dyDescent="0.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spans="1:25" x14ac:dyDescent="0.3">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spans="1:25" x14ac:dyDescent="0.3">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spans="1:25" x14ac:dyDescent="0.3">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spans="1:25" x14ac:dyDescent="0.3">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spans="1:25" x14ac:dyDescent="0.3">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spans="1:25" x14ac:dyDescent="0.3">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spans="1:25" x14ac:dyDescent="0.3">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spans="1:25" x14ac:dyDescent="0.3">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spans="1:25" x14ac:dyDescent="0.3">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spans="1:25" x14ac:dyDescent="0.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spans="1:25" x14ac:dyDescent="0.3">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spans="1:25" x14ac:dyDescent="0.3">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spans="1:25" x14ac:dyDescent="0.3">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spans="1:25" x14ac:dyDescent="0.3">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spans="1:25" x14ac:dyDescent="0.3">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spans="1:25" x14ac:dyDescent="0.3">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spans="1:25" x14ac:dyDescent="0.3">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spans="1:25" x14ac:dyDescent="0.3">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spans="1:25" x14ac:dyDescent="0.3">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spans="1:25" x14ac:dyDescent="0.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spans="1:25" x14ac:dyDescent="0.3">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spans="1:25" x14ac:dyDescent="0.3">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spans="1:25" x14ac:dyDescent="0.3">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spans="1:25" x14ac:dyDescent="0.3">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spans="1:25" x14ac:dyDescent="0.3">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spans="1:25" x14ac:dyDescent="0.3">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spans="1:25" x14ac:dyDescent="0.3">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spans="1:25" x14ac:dyDescent="0.3">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spans="1:25" x14ac:dyDescent="0.3">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spans="1:25" x14ac:dyDescent="0.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spans="1:25" x14ac:dyDescent="0.3">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spans="1:25" x14ac:dyDescent="0.3">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spans="1:25" x14ac:dyDescent="0.3">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spans="1:25" x14ac:dyDescent="0.3">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spans="1:25" x14ac:dyDescent="0.3">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spans="1:25" x14ac:dyDescent="0.3">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spans="1:25" x14ac:dyDescent="0.3">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spans="1:25" x14ac:dyDescent="0.3">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spans="1:25" x14ac:dyDescent="0.3">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spans="1:25" x14ac:dyDescent="0.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spans="1:25" x14ac:dyDescent="0.3">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spans="1:25" x14ac:dyDescent="0.3">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spans="1:25" x14ac:dyDescent="0.3">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spans="1:25" x14ac:dyDescent="0.3">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spans="1:25" x14ac:dyDescent="0.3">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spans="1:25" x14ac:dyDescent="0.3">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spans="1:25" x14ac:dyDescent="0.3">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spans="1:25" x14ac:dyDescent="0.3">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spans="1:25" x14ac:dyDescent="0.3">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spans="1:25" x14ac:dyDescent="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spans="1:25" x14ac:dyDescent="0.3">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spans="1:25" x14ac:dyDescent="0.3">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spans="1:25" x14ac:dyDescent="0.3">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spans="1:25" x14ac:dyDescent="0.3">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spans="1:25" x14ac:dyDescent="0.3">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spans="1:25" x14ac:dyDescent="0.3">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spans="1:25" x14ac:dyDescent="0.3">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spans="1:25" x14ac:dyDescent="0.3">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spans="1:25" x14ac:dyDescent="0.3">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spans="1:25" x14ac:dyDescent="0.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spans="1:25" x14ac:dyDescent="0.3">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spans="1:25" x14ac:dyDescent="0.3">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spans="1:25" x14ac:dyDescent="0.3">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spans="1:25" x14ac:dyDescent="0.3">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spans="1:25" x14ac:dyDescent="0.3">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spans="1:25" x14ac:dyDescent="0.3">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spans="1:25" x14ac:dyDescent="0.3">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spans="1:25" x14ac:dyDescent="0.3">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spans="1:25" x14ac:dyDescent="0.3">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spans="1:25" x14ac:dyDescent="0.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spans="1:25" x14ac:dyDescent="0.3">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spans="1:25" x14ac:dyDescent="0.3">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spans="1:25" x14ac:dyDescent="0.3">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spans="1:25" x14ac:dyDescent="0.3">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spans="1:25" x14ac:dyDescent="0.3">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spans="1:25" x14ac:dyDescent="0.3">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spans="1:25" x14ac:dyDescent="0.3">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spans="1:25" x14ac:dyDescent="0.3">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spans="1:25" x14ac:dyDescent="0.3">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spans="1:25" x14ac:dyDescent="0.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spans="1:25" x14ac:dyDescent="0.3">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spans="1:25" x14ac:dyDescent="0.3">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spans="1:25" x14ac:dyDescent="0.3">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spans="1:25" x14ac:dyDescent="0.3">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spans="1:25" x14ac:dyDescent="0.3">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spans="1:25" x14ac:dyDescent="0.3">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spans="1:25" x14ac:dyDescent="0.3">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spans="1:25" x14ac:dyDescent="0.3">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spans="1:25" x14ac:dyDescent="0.3">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spans="1:25" x14ac:dyDescent="0.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spans="1:25" x14ac:dyDescent="0.3">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spans="1:25" x14ac:dyDescent="0.3">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spans="1:25" x14ac:dyDescent="0.3">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spans="1:25" x14ac:dyDescent="0.3">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spans="1:25" x14ac:dyDescent="0.3">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spans="1:25" x14ac:dyDescent="0.3">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spans="1:25" x14ac:dyDescent="0.3">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spans="1:25" x14ac:dyDescent="0.3">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spans="1:25" x14ac:dyDescent="0.3">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spans="1:25" x14ac:dyDescent="0.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spans="1:25" x14ac:dyDescent="0.3">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spans="1:25" x14ac:dyDescent="0.3">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spans="1:25" x14ac:dyDescent="0.3">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spans="1:25" x14ac:dyDescent="0.3">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spans="1:25" x14ac:dyDescent="0.3">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spans="1:25" x14ac:dyDescent="0.3">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spans="1:25" x14ac:dyDescent="0.3">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spans="1:25" x14ac:dyDescent="0.3">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spans="1:25" x14ac:dyDescent="0.3">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spans="1:25" x14ac:dyDescent="0.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spans="1:25" x14ac:dyDescent="0.3">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spans="1:25" x14ac:dyDescent="0.3">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spans="1:25" x14ac:dyDescent="0.3">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spans="1:25" x14ac:dyDescent="0.3">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spans="1:25" x14ac:dyDescent="0.3">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spans="1:25" x14ac:dyDescent="0.3">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spans="1:25" x14ac:dyDescent="0.3">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spans="1:25" x14ac:dyDescent="0.3">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spans="1:25" x14ac:dyDescent="0.3">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spans="1:25" x14ac:dyDescent="0.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spans="1:25" x14ac:dyDescent="0.3">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spans="1:25" x14ac:dyDescent="0.3">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spans="1:25" x14ac:dyDescent="0.3">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spans="1:25" x14ac:dyDescent="0.3">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spans="1:25" x14ac:dyDescent="0.3">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spans="1:25" x14ac:dyDescent="0.3">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spans="1:25" x14ac:dyDescent="0.3">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spans="1:25" x14ac:dyDescent="0.3">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spans="1:25" x14ac:dyDescent="0.3">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spans="1:25" x14ac:dyDescent="0.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spans="1:25" x14ac:dyDescent="0.3">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spans="1:25" x14ac:dyDescent="0.3">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spans="1:25" x14ac:dyDescent="0.3">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spans="1:25" x14ac:dyDescent="0.3">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spans="1:25" x14ac:dyDescent="0.3">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spans="1:25" x14ac:dyDescent="0.3">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spans="1:25" x14ac:dyDescent="0.3">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spans="1:25" x14ac:dyDescent="0.3">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spans="1:25" x14ac:dyDescent="0.3">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spans="1:25" x14ac:dyDescent="0.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spans="1:25" x14ac:dyDescent="0.3">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spans="1:25" x14ac:dyDescent="0.3">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spans="1:25" x14ac:dyDescent="0.3">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spans="1:25" x14ac:dyDescent="0.3">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spans="1:25" x14ac:dyDescent="0.3">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spans="1:25" x14ac:dyDescent="0.3">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spans="1:25" x14ac:dyDescent="0.3">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spans="1:25" x14ac:dyDescent="0.3">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spans="1:25" x14ac:dyDescent="0.3">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spans="1:25" x14ac:dyDescent="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spans="1:25" x14ac:dyDescent="0.3">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spans="1:25" x14ac:dyDescent="0.3">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spans="1:25" x14ac:dyDescent="0.3">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spans="1:25" x14ac:dyDescent="0.3">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spans="1:25" x14ac:dyDescent="0.3">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spans="1:25" x14ac:dyDescent="0.3">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spans="1:25" x14ac:dyDescent="0.3">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spans="1:25" x14ac:dyDescent="0.3">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spans="1:25" x14ac:dyDescent="0.3">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spans="1:25" x14ac:dyDescent="0.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spans="1:25" x14ac:dyDescent="0.3">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spans="1:25" x14ac:dyDescent="0.3">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spans="1:25" x14ac:dyDescent="0.3">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spans="1:25" x14ac:dyDescent="0.3">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spans="1:25" x14ac:dyDescent="0.3">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spans="1:25" x14ac:dyDescent="0.3">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spans="1:25" x14ac:dyDescent="0.3">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spans="1:25" x14ac:dyDescent="0.3">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spans="1:25" x14ac:dyDescent="0.3">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x14ac:dyDescent="0.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spans="1:25" x14ac:dyDescent="0.3">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spans="1:25" x14ac:dyDescent="0.3">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spans="1:25" x14ac:dyDescent="0.3">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spans="1:25" x14ac:dyDescent="0.3">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spans="1:25" x14ac:dyDescent="0.3">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spans="1:25" x14ac:dyDescent="0.3">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spans="1:25" x14ac:dyDescent="0.3">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spans="1:25" x14ac:dyDescent="0.3">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spans="1:25" x14ac:dyDescent="0.3">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spans="1:25" x14ac:dyDescent="0.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spans="1:25" x14ac:dyDescent="0.3">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spans="1:25" x14ac:dyDescent="0.3">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spans="1:25" x14ac:dyDescent="0.3">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spans="1:25" x14ac:dyDescent="0.3">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spans="1:25" x14ac:dyDescent="0.3">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spans="1:25" x14ac:dyDescent="0.3">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spans="1:25" x14ac:dyDescent="0.3">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spans="1:25" x14ac:dyDescent="0.3">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spans="1:25" x14ac:dyDescent="0.3">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spans="1:25" x14ac:dyDescent="0.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spans="1:25" x14ac:dyDescent="0.3">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spans="1:25" x14ac:dyDescent="0.3">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spans="1:25" x14ac:dyDescent="0.3">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spans="1:25" x14ac:dyDescent="0.3">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spans="1:25" x14ac:dyDescent="0.3">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spans="1:25" x14ac:dyDescent="0.3">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spans="1:25" x14ac:dyDescent="0.3">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spans="1:25" x14ac:dyDescent="0.3">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spans="1:25" x14ac:dyDescent="0.3">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spans="1:25" x14ac:dyDescent="0.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spans="1:25" x14ac:dyDescent="0.3">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spans="1:25" x14ac:dyDescent="0.3">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spans="1:25" x14ac:dyDescent="0.3">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spans="1:25" x14ac:dyDescent="0.3">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spans="1:25" x14ac:dyDescent="0.3">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spans="1:25" x14ac:dyDescent="0.3">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spans="1:25" x14ac:dyDescent="0.3">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spans="1:25" x14ac:dyDescent="0.3">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spans="1:25" x14ac:dyDescent="0.3">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spans="1:25" x14ac:dyDescent="0.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spans="1:25" x14ac:dyDescent="0.3">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spans="1:25" x14ac:dyDescent="0.3">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spans="1:25" x14ac:dyDescent="0.3">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spans="1:25" x14ac:dyDescent="0.3">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spans="1:25" x14ac:dyDescent="0.3">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spans="1:25" x14ac:dyDescent="0.3">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spans="1:25" x14ac:dyDescent="0.3">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spans="1:25" x14ac:dyDescent="0.3">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spans="1:25" x14ac:dyDescent="0.3">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spans="1:25" x14ac:dyDescent="0.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spans="1:25" x14ac:dyDescent="0.3">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spans="1:25" x14ac:dyDescent="0.3">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spans="1:25" x14ac:dyDescent="0.3">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spans="1:25" x14ac:dyDescent="0.3">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spans="1:25" x14ac:dyDescent="0.3">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spans="1:25" x14ac:dyDescent="0.3">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spans="1:25" x14ac:dyDescent="0.3">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spans="1:25" x14ac:dyDescent="0.3">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spans="1:25" x14ac:dyDescent="0.3">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spans="1:25" x14ac:dyDescent="0.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spans="1:25" x14ac:dyDescent="0.3">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spans="1:25" x14ac:dyDescent="0.3">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spans="1:25" x14ac:dyDescent="0.3">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spans="1:25" x14ac:dyDescent="0.3">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spans="1:25" x14ac:dyDescent="0.3">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spans="1:25" x14ac:dyDescent="0.3">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spans="1:25" x14ac:dyDescent="0.3">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spans="1:25" x14ac:dyDescent="0.3">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spans="1:25" x14ac:dyDescent="0.3">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spans="1:25" x14ac:dyDescent="0.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spans="1:25" x14ac:dyDescent="0.3">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spans="1:25" x14ac:dyDescent="0.3">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spans="1:25" x14ac:dyDescent="0.3">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spans="1:25" x14ac:dyDescent="0.3">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spans="1:25" x14ac:dyDescent="0.3">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spans="1:25" x14ac:dyDescent="0.3">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spans="1:25" x14ac:dyDescent="0.3">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spans="1:25" x14ac:dyDescent="0.3">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spans="1:25" x14ac:dyDescent="0.3">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spans="1:25" x14ac:dyDescent="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spans="1:25" x14ac:dyDescent="0.3">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spans="1:25" x14ac:dyDescent="0.3">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spans="1:25" x14ac:dyDescent="0.3">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spans="1:25" x14ac:dyDescent="0.3">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spans="1:25" x14ac:dyDescent="0.3">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spans="1:25" x14ac:dyDescent="0.3">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spans="1:25" x14ac:dyDescent="0.3">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spans="1:25" x14ac:dyDescent="0.3">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spans="1:25" x14ac:dyDescent="0.3">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spans="1:25" x14ac:dyDescent="0.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spans="1:25" x14ac:dyDescent="0.3">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spans="1:25" x14ac:dyDescent="0.3">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spans="1:25" x14ac:dyDescent="0.3">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spans="1:25" x14ac:dyDescent="0.3">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spans="1:25" x14ac:dyDescent="0.3">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spans="1:25" x14ac:dyDescent="0.3">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spans="1:25" x14ac:dyDescent="0.3">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spans="1:25" x14ac:dyDescent="0.3">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spans="1:25" x14ac:dyDescent="0.3">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spans="1:25" x14ac:dyDescent="0.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spans="1:25" x14ac:dyDescent="0.3">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spans="1:25" x14ac:dyDescent="0.3">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spans="1:25" x14ac:dyDescent="0.3">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spans="1:25" x14ac:dyDescent="0.3">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spans="1:25" x14ac:dyDescent="0.3">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spans="1:25" x14ac:dyDescent="0.3">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spans="1:25" x14ac:dyDescent="0.3">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spans="1:25" x14ac:dyDescent="0.3">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spans="1:25" x14ac:dyDescent="0.3">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spans="1:25" x14ac:dyDescent="0.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spans="1:25" x14ac:dyDescent="0.3">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spans="1:25" x14ac:dyDescent="0.3">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spans="1:25" x14ac:dyDescent="0.3">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spans="1:25" x14ac:dyDescent="0.3">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spans="1:25" x14ac:dyDescent="0.3">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spans="1:25" x14ac:dyDescent="0.3">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spans="1:25" x14ac:dyDescent="0.3">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spans="1:25" x14ac:dyDescent="0.3">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spans="1:25" x14ac:dyDescent="0.3">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spans="1:25" x14ac:dyDescent="0.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spans="1:25" x14ac:dyDescent="0.3">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spans="1:25" x14ac:dyDescent="0.3">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spans="1:25" x14ac:dyDescent="0.3">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spans="1:25" x14ac:dyDescent="0.3">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spans="1:25" x14ac:dyDescent="0.3">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spans="1:25" x14ac:dyDescent="0.3">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spans="1:25" x14ac:dyDescent="0.3">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spans="1:25" x14ac:dyDescent="0.3">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spans="1:25" x14ac:dyDescent="0.3">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spans="1:25" x14ac:dyDescent="0.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spans="1:25" x14ac:dyDescent="0.3">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spans="1:25" x14ac:dyDescent="0.3">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spans="1:25" x14ac:dyDescent="0.3">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spans="1:25" x14ac:dyDescent="0.3">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spans="1:25" x14ac:dyDescent="0.3">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spans="1:25" x14ac:dyDescent="0.3">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spans="1:25" x14ac:dyDescent="0.3">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spans="1:25" x14ac:dyDescent="0.3">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spans="1:25" x14ac:dyDescent="0.3">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spans="1:25" x14ac:dyDescent="0.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spans="1:25" x14ac:dyDescent="0.3">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spans="1:25" x14ac:dyDescent="0.3">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spans="1:25" x14ac:dyDescent="0.3">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spans="1:25" x14ac:dyDescent="0.3">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spans="1:25" x14ac:dyDescent="0.3">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spans="1:25" x14ac:dyDescent="0.3">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spans="1:25" x14ac:dyDescent="0.3">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spans="1:25" x14ac:dyDescent="0.3">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spans="1:25" x14ac:dyDescent="0.3">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spans="1:25" x14ac:dyDescent="0.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spans="1:25" x14ac:dyDescent="0.3">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spans="1:25" x14ac:dyDescent="0.3">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spans="1:25" x14ac:dyDescent="0.3">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spans="1:25" x14ac:dyDescent="0.3">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spans="1:25" x14ac:dyDescent="0.3">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spans="1:25" x14ac:dyDescent="0.3">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spans="1:25" x14ac:dyDescent="0.3">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spans="1:25" x14ac:dyDescent="0.3">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spans="1:25" x14ac:dyDescent="0.3">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spans="1:25" x14ac:dyDescent="0.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spans="1:25" x14ac:dyDescent="0.3">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spans="1:25" x14ac:dyDescent="0.3">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spans="1:25" x14ac:dyDescent="0.3">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spans="1:25" x14ac:dyDescent="0.3">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spans="1:25" x14ac:dyDescent="0.3">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spans="1:25" x14ac:dyDescent="0.3">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spans="1:25" x14ac:dyDescent="0.3">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spans="1:25" x14ac:dyDescent="0.3">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spans="1:25" x14ac:dyDescent="0.3">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spans="1:25" x14ac:dyDescent="0.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spans="1:25" x14ac:dyDescent="0.3">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spans="1:25" x14ac:dyDescent="0.3">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spans="1:25" x14ac:dyDescent="0.3">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spans="1:25" x14ac:dyDescent="0.3">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spans="1:25" x14ac:dyDescent="0.3">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spans="1:25" x14ac:dyDescent="0.3">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spans="1:25" x14ac:dyDescent="0.3">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spans="1:25" x14ac:dyDescent="0.3">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spans="1:25" x14ac:dyDescent="0.3">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spans="1:25" x14ac:dyDescent="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spans="1:25" x14ac:dyDescent="0.3">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spans="1:25" x14ac:dyDescent="0.3">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spans="1:25" x14ac:dyDescent="0.3">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spans="1:25" x14ac:dyDescent="0.3">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spans="1:25" x14ac:dyDescent="0.3">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spans="1:25" x14ac:dyDescent="0.3">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spans="1:25" x14ac:dyDescent="0.3">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spans="1:25" x14ac:dyDescent="0.3">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spans="1:25" x14ac:dyDescent="0.3">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spans="1:25" x14ac:dyDescent="0.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spans="1:25" x14ac:dyDescent="0.3">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spans="1:25" x14ac:dyDescent="0.3">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spans="1:25" x14ac:dyDescent="0.3">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spans="1:25" x14ac:dyDescent="0.3">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spans="1:25" x14ac:dyDescent="0.3">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spans="1:25" x14ac:dyDescent="0.3">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spans="1:25" x14ac:dyDescent="0.3">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spans="1:25" x14ac:dyDescent="0.3">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spans="1:25" x14ac:dyDescent="0.3">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spans="1:25" x14ac:dyDescent="0.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spans="1:25" x14ac:dyDescent="0.3">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spans="1:25" x14ac:dyDescent="0.3">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spans="1:25" x14ac:dyDescent="0.3">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spans="1:25" x14ac:dyDescent="0.3">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spans="1:25" x14ac:dyDescent="0.3">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spans="1:25" x14ac:dyDescent="0.3">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spans="1:25" x14ac:dyDescent="0.3">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spans="1:25" x14ac:dyDescent="0.3">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spans="1:25" x14ac:dyDescent="0.3">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spans="1:25" x14ac:dyDescent="0.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spans="1:25" x14ac:dyDescent="0.3">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spans="1:25" x14ac:dyDescent="0.3">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spans="1:25" x14ac:dyDescent="0.3">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spans="1:25" x14ac:dyDescent="0.3">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spans="1:25" x14ac:dyDescent="0.3">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spans="1:25" x14ac:dyDescent="0.3">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spans="1:25" x14ac:dyDescent="0.3">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spans="1:25" x14ac:dyDescent="0.3">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spans="1:25" x14ac:dyDescent="0.3">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spans="1:25" x14ac:dyDescent="0.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spans="1:25" x14ac:dyDescent="0.3">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spans="1:25" x14ac:dyDescent="0.3">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spans="1:25" x14ac:dyDescent="0.3">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spans="1:25" x14ac:dyDescent="0.3">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spans="1:25" x14ac:dyDescent="0.3">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spans="1:25" x14ac:dyDescent="0.3">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spans="1:25" x14ac:dyDescent="0.3">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spans="1:25" x14ac:dyDescent="0.3">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spans="1:25" x14ac:dyDescent="0.3">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spans="1:25" x14ac:dyDescent="0.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spans="1:25" x14ac:dyDescent="0.3">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spans="1:25" x14ac:dyDescent="0.3">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spans="1:25" x14ac:dyDescent="0.3">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spans="1:25" x14ac:dyDescent="0.3">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spans="1:25" x14ac:dyDescent="0.3">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spans="1:25" x14ac:dyDescent="0.3">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spans="1:25" x14ac:dyDescent="0.3">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spans="1:25" x14ac:dyDescent="0.3">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spans="1:25" x14ac:dyDescent="0.3">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spans="1:25" x14ac:dyDescent="0.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spans="1:25" x14ac:dyDescent="0.3">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spans="1:25" x14ac:dyDescent="0.3">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spans="1:25" x14ac:dyDescent="0.3">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spans="1:25" x14ac:dyDescent="0.3">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spans="1:25" x14ac:dyDescent="0.3">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spans="1:25" x14ac:dyDescent="0.3">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spans="1:25" x14ac:dyDescent="0.3">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spans="1:25" x14ac:dyDescent="0.3">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spans="1:25" x14ac:dyDescent="0.3">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spans="1:25" x14ac:dyDescent="0.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spans="1:25" x14ac:dyDescent="0.3">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spans="1:25" x14ac:dyDescent="0.3">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spans="1:25" x14ac:dyDescent="0.3">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spans="1:25" x14ac:dyDescent="0.3">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spans="1:25" x14ac:dyDescent="0.3">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spans="1:25" x14ac:dyDescent="0.3">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spans="1:25" x14ac:dyDescent="0.3">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spans="1:25" x14ac:dyDescent="0.3">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spans="1:25" x14ac:dyDescent="0.3">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spans="1:25" x14ac:dyDescent="0.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spans="1:25" x14ac:dyDescent="0.3">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spans="1:25" x14ac:dyDescent="0.3">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spans="1:25" x14ac:dyDescent="0.3">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spans="1:25" x14ac:dyDescent="0.3">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spans="1:25" x14ac:dyDescent="0.3">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spans="1:25" x14ac:dyDescent="0.3">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spans="1:25" x14ac:dyDescent="0.3">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spans="1:25" x14ac:dyDescent="0.3">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spans="1:25" x14ac:dyDescent="0.3">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spans="1:25" x14ac:dyDescent="0.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spans="1:25" x14ac:dyDescent="0.3">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spans="1:25" x14ac:dyDescent="0.3">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spans="1:25" x14ac:dyDescent="0.3">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spans="1:25" x14ac:dyDescent="0.3">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spans="1:25" x14ac:dyDescent="0.3">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spans="1:25" x14ac:dyDescent="0.3">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spans="1:25" x14ac:dyDescent="0.3">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spans="1:25" x14ac:dyDescent="0.3">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spans="1:25" x14ac:dyDescent="0.3">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spans="1:25" x14ac:dyDescent="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spans="1:25" x14ac:dyDescent="0.3">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spans="1:25" x14ac:dyDescent="0.3">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spans="1:25" x14ac:dyDescent="0.3">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spans="1:25" x14ac:dyDescent="0.3">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spans="1:25" x14ac:dyDescent="0.3">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spans="1:25" x14ac:dyDescent="0.3">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spans="1:25" x14ac:dyDescent="0.3">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spans="1:25" x14ac:dyDescent="0.3">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spans="1:25" x14ac:dyDescent="0.3">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spans="1:25" x14ac:dyDescent="0.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spans="1:25" x14ac:dyDescent="0.3">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spans="1:25" x14ac:dyDescent="0.3">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spans="1:25" x14ac:dyDescent="0.3">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spans="1:25" x14ac:dyDescent="0.3">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spans="1:25" x14ac:dyDescent="0.3">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spans="1:25" x14ac:dyDescent="0.3">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spans="1:25" x14ac:dyDescent="0.3">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spans="1:25" x14ac:dyDescent="0.3">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spans="1:25" x14ac:dyDescent="0.3">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spans="1:25" x14ac:dyDescent="0.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spans="1:25" x14ac:dyDescent="0.3">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spans="1:25" x14ac:dyDescent="0.3">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spans="1:25" x14ac:dyDescent="0.3">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spans="1:25" x14ac:dyDescent="0.3">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spans="1:25" x14ac:dyDescent="0.3">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spans="1:25" x14ac:dyDescent="0.3">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spans="1:25" x14ac:dyDescent="0.3">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spans="1:25" x14ac:dyDescent="0.3">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spans="1:25" x14ac:dyDescent="0.3">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spans="1:25" x14ac:dyDescent="0.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spans="1:25" x14ac:dyDescent="0.3">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spans="1:25" x14ac:dyDescent="0.3">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spans="1:25" x14ac:dyDescent="0.3">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spans="1:25" x14ac:dyDescent="0.3">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spans="1:25" x14ac:dyDescent="0.3">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spans="1:25" x14ac:dyDescent="0.3">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spans="1:25" x14ac:dyDescent="0.3">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spans="1:25" x14ac:dyDescent="0.3">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spans="1:25" x14ac:dyDescent="0.3">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spans="1:25" x14ac:dyDescent="0.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spans="1:25" x14ac:dyDescent="0.3">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spans="1:25" x14ac:dyDescent="0.3">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spans="1:25" x14ac:dyDescent="0.3">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spans="1:25" x14ac:dyDescent="0.3">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spans="1:25" x14ac:dyDescent="0.3">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spans="1:25" x14ac:dyDescent="0.3">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spans="1:25" x14ac:dyDescent="0.3">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spans="1:25" x14ac:dyDescent="0.3">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spans="1:25" x14ac:dyDescent="0.3">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spans="1:25" x14ac:dyDescent="0.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spans="1:25" x14ac:dyDescent="0.3">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spans="1:25" x14ac:dyDescent="0.3">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spans="1:25" x14ac:dyDescent="0.3">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spans="1:25" x14ac:dyDescent="0.3">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spans="1:25" x14ac:dyDescent="0.3">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spans="1:25" x14ac:dyDescent="0.3">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spans="1:25" x14ac:dyDescent="0.3">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spans="1:25" x14ac:dyDescent="0.3">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spans="1:25" x14ac:dyDescent="0.3">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spans="1:25" x14ac:dyDescent="0.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spans="1:25" x14ac:dyDescent="0.3">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spans="1:25" x14ac:dyDescent="0.3">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spans="1:25" x14ac:dyDescent="0.3">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spans="1:25" x14ac:dyDescent="0.3">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spans="1:25" x14ac:dyDescent="0.3">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spans="1:25" x14ac:dyDescent="0.3">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spans="1:25" x14ac:dyDescent="0.3">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spans="1:25" x14ac:dyDescent="0.3">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spans="1:25" x14ac:dyDescent="0.3">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spans="1:25" x14ac:dyDescent="0.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spans="1:25" x14ac:dyDescent="0.3">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spans="1:25" x14ac:dyDescent="0.3">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spans="1:25" x14ac:dyDescent="0.3">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spans="1:25" x14ac:dyDescent="0.3">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spans="1:25" x14ac:dyDescent="0.3">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spans="1:25" x14ac:dyDescent="0.3">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spans="1:25" x14ac:dyDescent="0.3">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spans="1:25" x14ac:dyDescent="0.3">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spans="1:25" x14ac:dyDescent="0.3">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spans="1:25" x14ac:dyDescent="0.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spans="1:25" x14ac:dyDescent="0.3">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spans="1:25" x14ac:dyDescent="0.3">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spans="1:25" x14ac:dyDescent="0.3">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spans="1:25" x14ac:dyDescent="0.3">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spans="1:25" x14ac:dyDescent="0.3">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spans="1:25" x14ac:dyDescent="0.3">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spans="1:25" x14ac:dyDescent="0.3">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spans="1:25" x14ac:dyDescent="0.3">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spans="1:25" x14ac:dyDescent="0.3">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spans="1:25" x14ac:dyDescent="0.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spans="1:25" x14ac:dyDescent="0.3">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spans="1:25" x14ac:dyDescent="0.3">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spans="1:25" x14ac:dyDescent="0.3">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spans="1:25" x14ac:dyDescent="0.3">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spans="1:25" x14ac:dyDescent="0.3">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spans="1:25" x14ac:dyDescent="0.3">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spans="1:25" x14ac:dyDescent="0.3">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row r="1001" spans="1:25" x14ac:dyDescent="0.3">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row>
    <row r="1002" spans="1:25" x14ac:dyDescent="0.3">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row>
    <row r="1003" spans="1:25" x14ac:dyDescent="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row>
    <row r="1004" spans="1:25" x14ac:dyDescent="0.3">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row>
    <row r="1005" spans="1:25" x14ac:dyDescent="0.3">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row>
    <row r="1006" spans="1:25" x14ac:dyDescent="0.3">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row>
    <row r="1007" spans="1:25" x14ac:dyDescent="0.3">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row>
    <row r="1008" spans="1:25" x14ac:dyDescent="0.3">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row>
    <row r="1009" spans="1:25" x14ac:dyDescent="0.3">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row>
    <row r="1010" spans="1:25" x14ac:dyDescent="0.3">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row>
    <row r="1011" spans="1:25" x14ac:dyDescent="0.3">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row>
    <row r="1012" spans="1:25" x14ac:dyDescent="0.3">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row>
    <row r="1013" spans="1:25" x14ac:dyDescent="0.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row>
    <row r="1014" spans="1:25" x14ac:dyDescent="0.3">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row>
    <row r="1015" spans="1:25" x14ac:dyDescent="0.3">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row>
    <row r="1016" spans="1:25" x14ac:dyDescent="0.3">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row>
    <row r="1017" spans="1:25" x14ac:dyDescent="0.3">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row>
    <row r="1018" spans="1:25" x14ac:dyDescent="0.3">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row>
    <row r="1019" spans="1:25" x14ac:dyDescent="0.3">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row>
    <row r="1020" spans="1:25" x14ac:dyDescent="0.3">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row>
    <row r="1021" spans="1:25" x14ac:dyDescent="0.3">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row>
    <row r="1022" spans="1:25" x14ac:dyDescent="0.3">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row>
    <row r="1023" spans="1:25" x14ac:dyDescent="0.3">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row>
    <row r="1024" spans="1:25" x14ac:dyDescent="0.3">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row>
    <row r="1025" spans="1:25" x14ac:dyDescent="0.3">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row>
    <row r="1026" spans="1:25" x14ac:dyDescent="0.3">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row>
    <row r="1027" spans="1:25" x14ac:dyDescent="0.3">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row>
    <row r="1028" spans="1:25" x14ac:dyDescent="0.3">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row>
    <row r="1029" spans="1:25" x14ac:dyDescent="0.3">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row>
    <row r="1030" spans="1:25" x14ac:dyDescent="0.3">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row>
    <row r="1031" spans="1:25" x14ac:dyDescent="0.3">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row>
    <row r="1032" spans="1:25" x14ac:dyDescent="0.3">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row>
    <row r="1033" spans="1:25" x14ac:dyDescent="0.3">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row>
    <row r="1034" spans="1:25" x14ac:dyDescent="0.3">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row>
    <row r="1035" spans="1:25" x14ac:dyDescent="0.3">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row>
    <row r="1036" spans="1:25" x14ac:dyDescent="0.3">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row>
    <row r="1037" spans="1:25" x14ac:dyDescent="0.3">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row>
    <row r="1038" spans="1:25" x14ac:dyDescent="0.3">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row>
    <row r="1039" spans="1:25" x14ac:dyDescent="0.3">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row>
    <row r="1040" spans="1:25" x14ac:dyDescent="0.3">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row>
    <row r="1041" spans="1:25" x14ac:dyDescent="0.3">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row>
    <row r="1042" spans="1:25" x14ac:dyDescent="0.3">
      <c r="A1042" s="20"/>
      <c r="B1042" s="20"/>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row>
    <row r="1043" spans="1:25" x14ac:dyDescent="0.3">
      <c r="A1043" s="20"/>
      <c r="B1043" s="20"/>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row>
    <row r="1044" spans="1:25" x14ac:dyDescent="0.3">
      <c r="A1044" s="20"/>
      <c r="B1044" s="20"/>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row>
    <row r="1045" spans="1:25" x14ac:dyDescent="0.3">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row>
    <row r="1046" spans="1:25" x14ac:dyDescent="0.3">
      <c r="A1046" s="20"/>
      <c r="B1046" s="20"/>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row>
    <row r="1047" spans="1:25" x14ac:dyDescent="0.3">
      <c r="A1047" s="20"/>
      <c r="B1047" s="20"/>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row>
    <row r="1048" spans="1:25" x14ac:dyDescent="0.3">
      <c r="A1048" s="20"/>
      <c r="B1048" s="20"/>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row>
    <row r="1049" spans="1:25" x14ac:dyDescent="0.3">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row>
    <row r="1050" spans="1:25" x14ac:dyDescent="0.3">
      <c r="A1050" s="20"/>
      <c r="B1050" s="20"/>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row>
    <row r="1051" spans="1:25" x14ac:dyDescent="0.3">
      <c r="A1051" s="20"/>
      <c r="B1051" s="20"/>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row>
    <row r="1052" spans="1:25" x14ac:dyDescent="0.3">
      <c r="A1052" s="20"/>
      <c r="B1052" s="20"/>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row>
    <row r="1053" spans="1:25" x14ac:dyDescent="0.3">
      <c r="A1053" s="20"/>
      <c r="B1053" s="20"/>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row>
    <row r="1054" spans="1:25" x14ac:dyDescent="0.3">
      <c r="A1054" s="20"/>
      <c r="B1054" s="20"/>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row>
    <row r="1055" spans="1:25" x14ac:dyDescent="0.3">
      <c r="A1055" s="20"/>
      <c r="B1055" s="20"/>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row>
    <row r="1056" spans="1:25" x14ac:dyDescent="0.3">
      <c r="A1056" s="20"/>
      <c r="B1056" s="20"/>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row>
    <row r="1057" spans="1:25" x14ac:dyDescent="0.3">
      <c r="A1057" s="20"/>
      <c r="B1057" s="20"/>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row>
    <row r="1058" spans="1:25" x14ac:dyDescent="0.3">
      <c r="A1058" s="20"/>
      <c r="B1058" s="20"/>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row>
    <row r="1059" spans="1:25" x14ac:dyDescent="0.3">
      <c r="A1059" s="20"/>
      <c r="B1059" s="20"/>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row>
    <row r="1060" spans="1:25" x14ac:dyDescent="0.3">
      <c r="A1060" s="20"/>
      <c r="B1060" s="20"/>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row>
    <row r="1061" spans="1:25" x14ac:dyDescent="0.3">
      <c r="A1061" s="20"/>
      <c r="B1061" s="20"/>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row>
    <row r="1062" spans="1:25" x14ac:dyDescent="0.3">
      <c r="A1062" s="20"/>
      <c r="B1062" s="20"/>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row>
    <row r="1063" spans="1:25" x14ac:dyDescent="0.3">
      <c r="A1063" s="20"/>
      <c r="B1063" s="20"/>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row>
    <row r="1064" spans="1:25" x14ac:dyDescent="0.3">
      <c r="A1064" s="20"/>
      <c r="B1064" s="20"/>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row>
    <row r="1065" spans="1:25" x14ac:dyDescent="0.3">
      <c r="A1065" s="20"/>
      <c r="B1065" s="20"/>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row>
    <row r="1066" spans="1:25" x14ac:dyDescent="0.3">
      <c r="A1066" s="20"/>
      <c r="B1066" s="20"/>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row>
    <row r="1067" spans="1:25" x14ac:dyDescent="0.3">
      <c r="A1067" s="20"/>
      <c r="B1067" s="20"/>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row>
    <row r="1068" spans="1:25" x14ac:dyDescent="0.3">
      <c r="A1068" s="20"/>
      <c r="B1068" s="20"/>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row>
    <row r="1069" spans="1:25" x14ac:dyDescent="0.3">
      <c r="A1069" s="20"/>
      <c r="B1069" s="20"/>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row>
    <row r="1070" spans="1:25" x14ac:dyDescent="0.3">
      <c r="A1070" s="20"/>
      <c r="B1070" s="20"/>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row>
    <row r="1071" spans="1:25" x14ac:dyDescent="0.3">
      <c r="A1071" s="20"/>
      <c r="B1071" s="20"/>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row>
    <row r="1072" spans="1:25" x14ac:dyDescent="0.3">
      <c r="A1072" s="20"/>
      <c r="B1072" s="20"/>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row>
    <row r="1073" spans="1:25" x14ac:dyDescent="0.3">
      <c r="A1073" s="20"/>
      <c r="B1073" s="20"/>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row>
    <row r="1074" spans="1:25" x14ac:dyDescent="0.3">
      <c r="A1074" s="20"/>
      <c r="B1074" s="20"/>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row>
    <row r="1075" spans="1:25" x14ac:dyDescent="0.3">
      <c r="A1075" s="20"/>
      <c r="B1075" s="20"/>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row>
    <row r="1076" spans="1:25" x14ac:dyDescent="0.3">
      <c r="A1076" s="20"/>
      <c r="B1076" s="20"/>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row>
    <row r="1077" spans="1:25" x14ac:dyDescent="0.3">
      <c r="A1077" s="20"/>
      <c r="B1077" s="20"/>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row>
    <row r="1078" spans="1:25" x14ac:dyDescent="0.3">
      <c r="A1078" s="20"/>
      <c r="B1078" s="20"/>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row>
    <row r="1079" spans="1:25" x14ac:dyDescent="0.3">
      <c r="A1079" s="20"/>
      <c r="B1079" s="20"/>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row>
    <row r="1080" spans="1:25" x14ac:dyDescent="0.3">
      <c r="A1080" s="20"/>
      <c r="B1080" s="20"/>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row>
    <row r="1081" spans="1:25" x14ac:dyDescent="0.3">
      <c r="A1081" s="20"/>
      <c r="B1081" s="20"/>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row>
    <row r="1082" spans="1:25" x14ac:dyDescent="0.3">
      <c r="A1082" s="20"/>
      <c r="B1082" s="20"/>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row>
    <row r="1083" spans="1:25" x14ac:dyDescent="0.3">
      <c r="A1083" s="20"/>
      <c r="B1083" s="20"/>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row>
    <row r="1084" spans="1:25" x14ac:dyDescent="0.3">
      <c r="A1084" s="20"/>
      <c r="B1084" s="20"/>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row>
    <row r="1085" spans="1:25" x14ac:dyDescent="0.3">
      <c r="A1085" s="20"/>
      <c r="B1085" s="20"/>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row>
    <row r="1086" spans="1:25" x14ac:dyDescent="0.3">
      <c r="A1086" s="20"/>
      <c r="B1086" s="20"/>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row>
    <row r="1087" spans="1:25" x14ac:dyDescent="0.3">
      <c r="A1087" s="20"/>
      <c r="B1087" s="20"/>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row>
    <row r="1088" spans="1:25" x14ac:dyDescent="0.3">
      <c r="A1088" s="20"/>
      <c r="B1088" s="20"/>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row>
    <row r="1089" spans="1:25" x14ac:dyDescent="0.3">
      <c r="A1089" s="20"/>
      <c r="B1089" s="20"/>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row>
    <row r="1090" spans="1:25" x14ac:dyDescent="0.3">
      <c r="A1090" s="20"/>
      <c r="B1090" s="20"/>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row>
    <row r="1091" spans="1:25" x14ac:dyDescent="0.3">
      <c r="A1091" s="20"/>
      <c r="B1091" s="20"/>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row>
    <row r="1092" spans="1:25" x14ac:dyDescent="0.3">
      <c r="A1092" s="20"/>
      <c r="B1092" s="20"/>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row>
    <row r="1093" spans="1:25" x14ac:dyDescent="0.3">
      <c r="A1093" s="20"/>
      <c r="B1093" s="20"/>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row>
    <row r="1094" spans="1:25" x14ac:dyDescent="0.3">
      <c r="A1094" s="20"/>
      <c r="B1094" s="20"/>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row>
    <row r="1095" spans="1:25" x14ac:dyDescent="0.3">
      <c r="A1095" s="20"/>
      <c r="B1095" s="20"/>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row>
    <row r="1096" spans="1:25" x14ac:dyDescent="0.3">
      <c r="A1096" s="20"/>
      <c r="B1096" s="20"/>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row>
    <row r="1097" spans="1:25" x14ac:dyDescent="0.3">
      <c r="A1097" s="20"/>
      <c r="B1097" s="20"/>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row>
    <row r="1098" spans="1:25" x14ac:dyDescent="0.3">
      <c r="A1098" s="20"/>
      <c r="B1098" s="20"/>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row>
    <row r="1099" spans="1:25" x14ac:dyDescent="0.3">
      <c r="A1099" s="20"/>
      <c r="B1099" s="20"/>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row>
    <row r="1100" spans="1:25" x14ac:dyDescent="0.3">
      <c r="A1100" s="20"/>
      <c r="B1100" s="20"/>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row>
    <row r="1101" spans="1:25" x14ac:dyDescent="0.3">
      <c r="A1101" s="20"/>
      <c r="B1101" s="20"/>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row>
    <row r="1102" spans="1:25" x14ac:dyDescent="0.3">
      <c r="A1102" s="20"/>
      <c r="B1102" s="20"/>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row>
    <row r="1103" spans="1:25" x14ac:dyDescent="0.3">
      <c r="A1103" s="20"/>
      <c r="B1103" s="20"/>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row>
    <row r="1104" spans="1:25" x14ac:dyDescent="0.3">
      <c r="A1104" s="20"/>
      <c r="B1104" s="20"/>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row>
    <row r="1105" spans="1:25" x14ac:dyDescent="0.3">
      <c r="A1105" s="20"/>
      <c r="B1105" s="20"/>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row>
    <row r="1106" spans="1:25" x14ac:dyDescent="0.3">
      <c r="A1106" s="20"/>
      <c r="B1106" s="20"/>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row>
    <row r="1107" spans="1:25" x14ac:dyDescent="0.3">
      <c r="A1107" s="20"/>
      <c r="B1107" s="20"/>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row>
    <row r="1108" spans="1:25" x14ac:dyDescent="0.3">
      <c r="A1108" s="20"/>
      <c r="B1108" s="20"/>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row>
    <row r="1109" spans="1:25" x14ac:dyDescent="0.3">
      <c r="A1109" s="20"/>
      <c r="B1109" s="20"/>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row>
    <row r="1110" spans="1:25" x14ac:dyDescent="0.3">
      <c r="A1110" s="20"/>
      <c r="B1110" s="20"/>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row>
    <row r="1111" spans="1:25" x14ac:dyDescent="0.3">
      <c r="A1111" s="20"/>
      <c r="B1111" s="20"/>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row>
    <row r="1112" spans="1:25" x14ac:dyDescent="0.3">
      <c r="A1112" s="20"/>
      <c r="B1112" s="20"/>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row>
    <row r="1113" spans="1:25" x14ac:dyDescent="0.3">
      <c r="A1113" s="20"/>
      <c r="B1113" s="20"/>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row>
    <row r="1114" spans="1:25" x14ac:dyDescent="0.3">
      <c r="A1114" s="20"/>
      <c r="B1114" s="20"/>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row>
    <row r="1115" spans="1:25" x14ac:dyDescent="0.3">
      <c r="A1115" s="20"/>
      <c r="B1115" s="20"/>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row>
    <row r="1116" spans="1:25" x14ac:dyDescent="0.3">
      <c r="A1116" s="20"/>
      <c r="B1116" s="20"/>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row>
    <row r="1117" spans="1:25" x14ac:dyDescent="0.3">
      <c r="A1117" s="20"/>
      <c r="B1117" s="20"/>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row>
    <row r="1118" spans="1:25" x14ac:dyDescent="0.3">
      <c r="A1118" s="20"/>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row>
    <row r="1119" spans="1:25" x14ac:dyDescent="0.3">
      <c r="A1119" s="20"/>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row>
    <row r="1120" spans="1:25" x14ac:dyDescent="0.3">
      <c r="A1120" s="20"/>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row>
    <row r="1121" spans="1:25" x14ac:dyDescent="0.3">
      <c r="A1121" s="20"/>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row>
    <row r="1122" spans="1:25" x14ac:dyDescent="0.3">
      <c r="A1122" s="20"/>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row>
    <row r="1123" spans="1:25" x14ac:dyDescent="0.3">
      <c r="A1123" s="20"/>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row>
    <row r="1124" spans="1:25" x14ac:dyDescent="0.3">
      <c r="A1124" s="20"/>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row>
    <row r="1125" spans="1:25" x14ac:dyDescent="0.3">
      <c r="A1125" s="20"/>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row>
    <row r="1126" spans="1:25" x14ac:dyDescent="0.3">
      <c r="A1126" s="20"/>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row>
    <row r="1127" spans="1:25" x14ac:dyDescent="0.3">
      <c r="A1127" s="20"/>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row>
    <row r="1128" spans="1:25" x14ac:dyDescent="0.3">
      <c r="A1128" s="20"/>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row>
    <row r="1129" spans="1:25" x14ac:dyDescent="0.3">
      <c r="A1129" s="20"/>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row>
    <row r="1130" spans="1:25" x14ac:dyDescent="0.3">
      <c r="A1130" s="20"/>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row>
    <row r="1131" spans="1:25" x14ac:dyDescent="0.3">
      <c r="A1131" s="20"/>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row>
    <row r="1132" spans="1:25" x14ac:dyDescent="0.3">
      <c r="A1132" s="20"/>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row>
    <row r="1133" spans="1:25" x14ac:dyDescent="0.3">
      <c r="A1133" s="20"/>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row>
    <row r="1134" spans="1:25" x14ac:dyDescent="0.3">
      <c r="A1134" s="20"/>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row>
    <row r="1135" spans="1:25" x14ac:dyDescent="0.3">
      <c r="A1135" s="20"/>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row>
    <row r="1136" spans="1:25" x14ac:dyDescent="0.3">
      <c r="A1136" s="20"/>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row>
    <row r="1137" spans="1:25" x14ac:dyDescent="0.3">
      <c r="A1137" s="20"/>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row>
    <row r="1138" spans="1:25" x14ac:dyDescent="0.3">
      <c r="A1138" s="20"/>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row>
    <row r="1139" spans="1:25" x14ac:dyDescent="0.3">
      <c r="A1139" s="20"/>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row>
    <row r="1140" spans="1:25" x14ac:dyDescent="0.3">
      <c r="A1140" s="20"/>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row>
    <row r="1141" spans="1:25" x14ac:dyDescent="0.3">
      <c r="A1141" s="20"/>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row>
    <row r="1142" spans="1:25" x14ac:dyDescent="0.3">
      <c r="A1142" s="20"/>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row>
    <row r="1143" spans="1:25" x14ac:dyDescent="0.3">
      <c r="A1143" s="20"/>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row>
    <row r="1144" spans="1:25" x14ac:dyDescent="0.3">
      <c r="A1144" s="20"/>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row>
    <row r="1145" spans="1:25" x14ac:dyDescent="0.3">
      <c r="A1145" s="20"/>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row>
    <row r="1146" spans="1:25" x14ac:dyDescent="0.3">
      <c r="A1146" s="20"/>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row>
    <row r="1147" spans="1:25" x14ac:dyDescent="0.3">
      <c r="A1147" s="20"/>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row>
    <row r="1148" spans="1:25" x14ac:dyDescent="0.3">
      <c r="A1148" s="20"/>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row>
    <row r="1149" spans="1:25" x14ac:dyDescent="0.3">
      <c r="A1149" s="20"/>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row>
    <row r="1150" spans="1:25" x14ac:dyDescent="0.3">
      <c r="A1150" s="20"/>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row>
    <row r="1151" spans="1:25" x14ac:dyDescent="0.3">
      <c r="A1151" s="20"/>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row>
    <row r="1152" spans="1:25" x14ac:dyDescent="0.3">
      <c r="A1152" s="20"/>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row>
    <row r="1153" spans="1:25" x14ac:dyDescent="0.3">
      <c r="A1153" s="20"/>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row>
    <row r="1154" spans="1:25" x14ac:dyDescent="0.3">
      <c r="A1154" s="20"/>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row>
    <row r="1155" spans="1:25" x14ac:dyDescent="0.3">
      <c r="A1155" s="20"/>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row>
    <row r="1156" spans="1:25" x14ac:dyDescent="0.3">
      <c r="A1156" s="20"/>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row>
    <row r="1157" spans="1:25" x14ac:dyDescent="0.3">
      <c r="A1157" s="20"/>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row>
    <row r="1158" spans="1:25" x14ac:dyDescent="0.3">
      <c r="A1158" s="20"/>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row>
    <row r="1159" spans="1:25" x14ac:dyDescent="0.3">
      <c r="A1159" s="20"/>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row>
    <row r="1160" spans="1:25" x14ac:dyDescent="0.3">
      <c r="A1160" s="20"/>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row>
    <row r="1161" spans="1:25" x14ac:dyDescent="0.3">
      <c r="A1161" s="20"/>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row>
    <row r="1162" spans="1:25" x14ac:dyDescent="0.3">
      <c r="A1162" s="20"/>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row>
    <row r="1163" spans="1:25" x14ac:dyDescent="0.3">
      <c r="A1163" s="20"/>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row>
    <row r="1164" spans="1:25" x14ac:dyDescent="0.3">
      <c r="A1164" s="20"/>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row>
    <row r="1165" spans="1:25" x14ac:dyDescent="0.3">
      <c r="A1165" s="20"/>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row>
    <row r="1166" spans="1:25" x14ac:dyDescent="0.3">
      <c r="A1166" s="20"/>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row>
    <row r="1167" spans="1:25" x14ac:dyDescent="0.3">
      <c r="A1167" s="20"/>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row>
    <row r="1168" spans="1:25" x14ac:dyDescent="0.3">
      <c r="A1168" s="20"/>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row>
    <row r="1169" spans="1:25" x14ac:dyDescent="0.3">
      <c r="A1169" s="20"/>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row>
    <row r="1170" spans="1:25" x14ac:dyDescent="0.3">
      <c r="A1170" s="20"/>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row>
    <row r="1171" spans="1:25" x14ac:dyDescent="0.3">
      <c r="A1171" s="20"/>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row>
    <row r="1172" spans="1:25" x14ac:dyDescent="0.3">
      <c r="A1172" s="20"/>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row>
    <row r="1173" spans="1:25" x14ac:dyDescent="0.3">
      <c r="A1173" s="20"/>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row>
    <row r="1174" spans="1:25" x14ac:dyDescent="0.3">
      <c r="A1174" s="20"/>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row>
    <row r="1175" spans="1:25" x14ac:dyDescent="0.3">
      <c r="A1175" s="20"/>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row>
    <row r="1176" spans="1:25" x14ac:dyDescent="0.3">
      <c r="A1176" s="20"/>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row>
    <row r="1177" spans="1:25" x14ac:dyDescent="0.3">
      <c r="A1177" s="20"/>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row>
    <row r="1178" spans="1:25" x14ac:dyDescent="0.3">
      <c r="A1178" s="20"/>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row>
    <row r="1179" spans="1:25" x14ac:dyDescent="0.3">
      <c r="A1179" s="20"/>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row>
    <row r="1180" spans="1:25" x14ac:dyDescent="0.3">
      <c r="A1180" s="20"/>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row>
    <row r="1181" spans="1:25" x14ac:dyDescent="0.3">
      <c r="A1181" s="20"/>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row>
    <row r="1182" spans="1:25" x14ac:dyDescent="0.3">
      <c r="A1182" s="20"/>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row>
    <row r="1183" spans="1:25" x14ac:dyDescent="0.3">
      <c r="A1183" s="20"/>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row>
    <row r="1184" spans="1:25" x14ac:dyDescent="0.3">
      <c r="A1184" s="20"/>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row>
    <row r="1185" spans="1:25" x14ac:dyDescent="0.3">
      <c r="A1185" s="20"/>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row>
    <row r="1186" spans="1:25" x14ac:dyDescent="0.3">
      <c r="A1186" s="20"/>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row>
    <row r="1187" spans="1:25" x14ac:dyDescent="0.3">
      <c r="A1187" s="20"/>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row>
    <row r="1188" spans="1:25" x14ac:dyDescent="0.3">
      <c r="A1188" s="20"/>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row>
    <row r="1189" spans="1:25" x14ac:dyDescent="0.3">
      <c r="A1189" s="20"/>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row>
    <row r="1190" spans="1:25" x14ac:dyDescent="0.3">
      <c r="A1190" s="20"/>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row>
    <row r="1191" spans="1:25" x14ac:dyDescent="0.3">
      <c r="A1191" s="20"/>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row>
    <row r="1192" spans="1:25" x14ac:dyDescent="0.3">
      <c r="A1192" s="20"/>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row>
    <row r="1193" spans="1:25" x14ac:dyDescent="0.3">
      <c r="A1193" s="20"/>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row>
    <row r="1194" spans="1:25" x14ac:dyDescent="0.3">
      <c r="A1194" s="20"/>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row>
    <row r="1195" spans="1:25" x14ac:dyDescent="0.3">
      <c r="A1195" s="20"/>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row>
    <row r="1196" spans="1:25" x14ac:dyDescent="0.3">
      <c r="A1196" s="20"/>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row>
    <row r="1197" spans="1:25" x14ac:dyDescent="0.3">
      <c r="A1197" s="20"/>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row>
    <row r="1198" spans="1:25" x14ac:dyDescent="0.3">
      <c r="A1198" s="20"/>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row>
    <row r="1199" spans="1:25" x14ac:dyDescent="0.3">
      <c r="A1199" s="20"/>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row>
    <row r="1200" spans="1:25" x14ac:dyDescent="0.3">
      <c r="A1200" s="20"/>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row>
    <row r="1201" spans="1:25" x14ac:dyDescent="0.3">
      <c r="A1201" s="20"/>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row>
    <row r="1202" spans="1:25" x14ac:dyDescent="0.3">
      <c r="A1202" s="20"/>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row>
    <row r="1203" spans="1:25" x14ac:dyDescent="0.3">
      <c r="A1203" s="20"/>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row>
    <row r="1204" spans="1:25" x14ac:dyDescent="0.3">
      <c r="A1204" s="20"/>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row>
    <row r="1205" spans="1:25" x14ac:dyDescent="0.3">
      <c r="A1205" s="20"/>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row>
    <row r="1206" spans="1:25" x14ac:dyDescent="0.3">
      <c r="A1206" s="20"/>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row>
    <row r="1207" spans="1:25" x14ac:dyDescent="0.3">
      <c r="A1207" s="20"/>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row>
    <row r="1208" spans="1:25" x14ac:dyDescent="0.3">
      <c r="A1208" s="20"/>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row>
    <row r="1209" spans="1:25" x14ac:dyDescent="0.3">
      <c r="A1209" s="20"/>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row>
    <row r="1210" spans="1:25" x14ac:dyDescent="0.3">
      <c r="A1210" s="20"/>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row>
    <row r="1211" spans="1:25" x14ac:dyDescent="0.3">
      <c r="A1211" s="20"/>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row>
    <row r="1212" spans="1:25" x14ac:dyDescent="0.3">
      <c r="A1212" s="20"/>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row>
    <row r="1213" spans="1:25" x14ac:dyDescent="0.3">
      <c r="A1213" s="20"/>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row>
    <row r="1214" spans="1:25" x14ac:dyDescent="0.3">
      <c r="A1214" s="20"/>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row>
    <row r="1215" spans="1:25" x14ac:dyDescent="0.3">
      <c r="A1215" s="20"/>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row>
    <row r="1216" spans="1:25" x14ac:dyDescent="0.3">
      <c r="A1216" s="20"/>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row>
    <row r="1217" spans="1:25" x14ac:dyDescent="0.3">
      <c r="A1217" s="20"/>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row>
    <row r="1218" spans="1:25" x14ac:dyDescent="0.3">
      <c r="A1218" s="20"/>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row>
    <row r="1219" spans="1:25" x14ac:dyDescent="0.3">
      <c r="A1219" s="20"/>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row>
    <row r="1220" spans="1:25" x14ac:dyDescent="0.3">
      <c r="A1220" s="20"/>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row>
    <row r="1221" spans="1:25" x14ac:dyDescent="0.3">
      <c r="A1221" s="20"/>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row>
    <row r="1222" spans="1:25" x14ac:dyDescent="0.3">
      <c r="A1222" s="20"/>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row>
    <row r="1223" spans="1:25" x14ac:dyDescent="0.3">
      <c r="A1223" s="20"/>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row>
    <row r="1224" spans="1:25" x14ac:dyDescent="0.3">
      <c r="A1224" s="20"/>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row>
    <row r="1225" spans="1:25" x14ac:dyDescent="0.3">
      <c r="A1225" s="20"/>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row>
    <row r="1226" spans="1:25" x14ac:dyDescent="0.3">
      <c r="A1226" s="20"/>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row>
    <row r="1227" spans="1:25" x14ac:dyDescent="0.3">
      <c r="A1227" s="20"/>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row>
    <row r="1228" spans="1:25" x14ac:dyDescent="0.3">
      <c r="A1228" s="20"/>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row>
    <row r="1229" spans="1:25" x14ac:dyDescent="0.3">
      <c r="A1229" s="20"/>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row>
    <row r="1230" spans="1:25" x14ac:dyDescent="0.3">
      <c r="A1230" s="20"/>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row>
    <row r="1231" spans="1:25" x14ac:dyDescent="0.3">
      <c r="A1231" s="20"/>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row>
    <row r="1232" spans="1:25" x14ac:dyDescent="0.3">
      <c r="A1232" s="20"/>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row>
    <row r="1233" spans="1:25" x14ac:dyDescent="0.3">
      <c r="A1233" s="20"/>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row>
    <row r="1234" spans="1:25" x14ac:dyDescent="0.3">
      <c r="A1234" s="20"/>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row>
    <row r="1235" spans="1:25" x14ac:dyDescent="0.3">
      <c r="A1235" s="20"/>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row>
    <row r="1236" spans="1:25" x14ac:dyDescent="0.3">
      <c r="A1236" s="20"/>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row>
    <row r="1237" spans="1:25" x14ac:dyDescent="0.3">
      <c r="A1237" s="20"/>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row>
    <row r="1238" spans="1:25" x14ac:dyDescent="0.3">
      <c r="A1238" s="20"/>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row>
    <row r="1239" spans="1:25" x14ac:dyDescent="0.3">
      <c r="A1239" s="20"/>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row>
    <row r="1240" spans="1:25" x14ac:dyDescent="0.3">
      <c r="A1240" s="20"/>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row>
    <row r="1241" spans="1:25" x14ac:dyDescent="0.3">
      <c r="A1241" s="20"/>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row>
    <row r="1242" spans="1:25" x14ac:dyDescent="0.3">
      <c r="A1242" s="20"/>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row>
    <row r="1243" spans="1:25" x14ac:dyDescent="0.3">
      <c r="A1243" s="20"/>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row>
    <row r="1244" spans="1:25" x14ac:dyDescent="0.3">
      <c r="A1244" s="20"/>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row>
    <row r="1245" spans="1:25" x14ac:dyDescent="0.3">
      <c r="A1245" s="20"/>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row>
    <row r="1246" spans="1:25" x14ac:dyDescent="0.3">
      <c r="A1246" s="20"/>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row>
    <row r="1247" spans="1:25" x14ac:dyDescent="0.3">
      <c r="A1247" s="20"/>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row>
    <row r="1248" spans="1:25" x14ac:dyDescent="0.3">
      <c r="A1248" s="20"/>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row>
    <row r="1249" spans="1:25" x14ac:dyDescent="0.3">
      <c r="A1249" s="20"/>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row>
    <row r="1250" spans="1:25" x14ac:dyDescent="0.3">
      <c r="A1250" s="20"/>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row>
    <row r="1251" spans="1:25" x14ac:dyDescent="0.3">
      <c r="A1251" s="20"/>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row>
    <row r="1252" spans="1:25" x14ac:dyDescent="0.3">
      <c r="A1252" s="20"/>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row>
    <row r="1253" spans="1:25" x14ac:dyDescent="0.3">
      <c r="A1253" s="20"/>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row>
    <row r="1254" spans="1:25" x14ac:dyDescent="0.3">
      <c r="A1254" s="20"/>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row>
    <row r="1255" spans="1:25" x14ac:dyDescent="0.3">
      <c r="A1255" s="20"/>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row>
    <row r="1256" spans="1:25" x14ac:dyDescent="0.3">
      <c r="A1256" s="20"/>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row>
    <row r="1257" spans="1:25" x14ac:dyDescent="0.3">
      <c r="A1257" s="20"/>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row>
    <row r="1258" spans="1:25" x14ac:dyDescent="0.3">
      <c r="A1258" s="20"/>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row>
    <row r="1259" spans="1:25" x14ac:dyDescent="0.3">
      <c r="A1259" s="20"/>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row>
    <row r="1260" spans="1:25" x14ac:dyDescent="0.3">
      <c r="A1260" s="20"/>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row>
    <row r="1261" spans="1:25" x14ac:dyDescent="0.3">
      <c r="A1261" s="20"/>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row>
    <row r="1262" spans="1:25" x14ac:dyDescent="0.3">
      <c r="A1262" s="20"/>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row>
    <row r="1263" spans="1:25" x14ac:dyDescent="0.3">
      <c r="A1263" s="20"/>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row>
    <row r="1264" spans="1:25" x14ac:dyDescent="0.3">
      <c r="A1264" s="20"/>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row>
    <row r="1265" spans="1:25" x14ac:dyDescent="0.3">
      <c r="A1265" s="20"/>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row>
    <row r="1266" spans="1:25" x14ac:dyDescent="0.3">
      <c r="A1266" s="20"/>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row>
    <row r="1267" spans="1:25" x14ac:dyDescent="0.3">
      <c r="A1267" s="20"/>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row>
    <row r="1268" spans="1:25" x14ac:dyDescent="0.3">
      <c r="A1268" s="20"/>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row>
    <row r="1269" spans="1:25" x14ac:dyDescent="0.3">
      <c r="A1269" s="20"/>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row>
    <row r="1270" spans="1:25" x14ac:dyDescent="0.3">
      <c r="A1270" s="20"/>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row>
    <row r="1271" spans="1:25" x14ac:dyDescent="0.3">
      <c r="A1271" s="20"/>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row>
    <row r="1272" spans="1:25" x14ac:dyDescent="0.3">
      <c r="A1272" s="20"/>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row>
    <row r="1273" spans="1:25" x14ac:dyDescent="0.3">
      <c r="A1273" s="20"/>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row>
    <row r="1274" spans="1:25" x14ac:dyDescent="0.3">
      <c r="A1274" s="20"/>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row>
    <row r="1275" spans="1:25" x14ac:dyDescent="0.3">
      <c r="A1275" s="20"/>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row>
    <row r="1276" spans="1:25" x14ac:dyDescent="0.3">
      <c r="A1276" s="20"/>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row>
    <row r="1277" spans="1:25" x14ac:dyDescent="0.3">
      <c r="A1277" s="20"/>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row>
    <row r="1278" spans="1:25" x14ac:dyDescent="0.3">
      <c r="A1278" s="20"/>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row>
    <row r="1279" spans="1:25" x14ac:dyDescent="0.3">
      <c r="A1279" s="20"/>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row>
    <row r="1280" spans="1:25" x14ac:dyDescent="0.3">
      <c r="A1280" s="20"/>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row>
    <row r="1281" spans="1:25" x14ac:dyDescent="0.3">
      <c r="A1281" s="20"/>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row>
    <row r="1282" spans="1:25" x14ac:dyDescent="0.3">
      <c r="A1282" s="20"/>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row>
    <row r="1283" spans="1:25" x14ac:dyDescent="0.3">
      <c r="A1283" s="20"/>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row>
    <row r="1284" spans="1:25" x14ac:dyDescent="0.3">
      <c r="A1284" s="20"/>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row>
    <row r="1285" spans="1:25" x14ac:dyDescent="0.3">
      <c r="A1285" s="20"/>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row>
    <row r="1286" spans="1:25" x14ac:dyDescent="0.3">
      <c r="A1286" s="20"/>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row>
    <row r="1287" spans="1:25" x14ac:dyDescent="0.3">
      <c r="A1287" s="20"/>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row>
    <row r="1288" spans="1:25" x14ac:dyDescent="0.3">
      <c r="A1288" s="20"/>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row>
    <row r="1289" spans="1:25" x14ac:dyDescent="0.3">
      <c r="A1289" s="20"/>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row>
    <row r="1290" spans="1:25" x14ac:dyDescent="0.3">
      <c r="A1290" s="20"/>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row>
    <row r="1291" spans="1:25" x14ac:dyDescent="0.3">
      <c r="A1291" s="20"/>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row>
    <row r="1292" spans="1:25" x14ac:dyDescent="0.3">
      <c r="A1292" s="20"/>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row>
    <row r="1293" spans="1:25" x14ac:dyDescent="0.3">
      <c r="A1293" s="20"/>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row>
    <row r="1294" spans="1:25" x14ac:dyDescent="0.3">
      <c r="A1294" s="20"/>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row>
    <row r="1295" spans="1:25" x14ac:dyDescent="0.3">
      <c r="A1295" s="20"/>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row>
    <row r="1296" spans="1:25" x14ac:dyDescent="0.3">
      <c r="A1296" s="20"/>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row>
    <row r="1297" spans="1:25" x14ac:dyDescent="0.3">
      <c r="A1297" s="20"/>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row>
    <row r="1298" spans="1:25" x14ac:dyDescent="0.3">
      <c r="A1298" s="20"/>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row>
    <row r="1299" spans="1:25" x14ac:dyDescent="0.3">
      <c r="A1299" s="20"/>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row>
    <row r="1300" spans="1:25" x14ac:dyDescent="0.3">
      <c r="A1300" s="20"/>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row>
    <row r="1301" spans="1:25" x14ac:dyDescent="0.3">
      <c r="A1301" s="20"/>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row>
    <row r="1302" spans="1:25" x14ac:dyDescent="0.3">
      <c r="A1302" s="20"/>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row>
    <row r="1303" spans="1:25" x14ac:dyDescent="0.3">
      <c r="A1303" s="20"/>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row>
    <row r="1304" spans="1:25" x14ac:dyDescent="0.3">
      <c r="A1304" s="20"/>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row>
    <row r="1305" spans="1:25" x14ac:dyDescent="0.3">
      <c r="A1305" s="20"/>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row>
    <row r="1306" spans="1:25" x14ac:dyDescent="0.3">
      <c r="A1306" s="20"/>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row>
    <row r="1307" spans="1:25" x14ac:dyDescent="0.3">
      <c r="A1307" s="20"/>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row>
    <row r="1308" spans="1:25" x14ac:dyDescent="0.3">
      <c r="A1308" s="20"/>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row>
    <row r="1309" spans="1:25" x14ac:dyDescent="0.3">
      <c r="A1309" s="20"/>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row>
    <row r="1310" spans="1:25" x14ac:dyDescent="0.3">
      <c r="A1310" s="20"/>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row>
    <row r="1311" spans="1:25" x14ac:dyDescent="0.3">
      <c r="A1311" s="20"/>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row>
    <row r="1312" spans="1:25" x14ac:dyDescent="0.3">
      <c r="A1312" s="20"/>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row>
    <row r="1313" spans="1:25" x14ac:dyDescent="0.3">
      <c r="A1313" s="20"/>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row>
    <row r="1314" spans="1:25" x14ac:dyDescent="0.3">
      <c r="A1314" s="20"/>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row>
    <row r="1315" spans="1:25" x14ac:dyDescent="0.3">
      <c r="A1315" s="20"/>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row>
    <row r="1316" spans="1:25" x14ac:dyDescent="0.3">
      <c r="A1316" s="20"/>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row>
    <row r="1317" spans="1:25" x14ac:dyDescent="0.3">
      <c r="A1317" s="20"/>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row>
    <row r="1318" spans="1:25" x14ac:dyDescent="0.3">
      <c r="A1318" s="20"/>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row>
    <row r="1319" spans="1:25" x14ac:dyDescent="0.3">
      <c r="A1319" s="20"/>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row>
    <row r="1320" spans="1:25" x14ac:dyDescent="0.3">
      <c r="A1320" s="20"/>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row>
    <row r="1321" spans="1:25" x14ac:dyDescent="0.3">
      <c r="A1321" s="20"/>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row>
    <row r="1322" spans="1:25" x14ac:dyDescent="0.3">
      <c r="A1322" s="20"/>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row>
    <row r="1323" spans="1:25" x14ac:dyDescent="0.3">
      <c r="A1323" s="20"/>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row>
    <row r="1324" spans="1:25" x14ac:dyDescent="0.3">
      <c r="A1324" s="20"/>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row>
    <row r="1325" spans="1:25" x14ac:dyDescent="0.3">
      <c r="A1325" s="20"/>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row>
    <row r="1326" spans="1:25" x14ac:dyDescent="0.3">
      <c r="A1326" s="20"/>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row>
    <row r="1327" spans="1:25" x14ac:dyDescent="0.3">
      <c r="A1327" s="20"/>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row>
    <row r="1328" spans="1:25" x14ac:dyDescent="0.3">
      <c r="A1328" s="20"/>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row>
    <row r="1329" spans="1:25" x14ac:dyDescent="0.3">
      <c r="A1329" s="20"/>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row>
    <row r="1330" spans="1:25" x14ac:dyDescent="0.3">
      <c r="A1330" s="20"/>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row>
    <row r="1331" spans="1:25" x14ac:dyDescent="0.3">
      <c r="A1331" s="20"/>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row>
    <row r="1332" spans="1:25" x14ac:dyDescent="0.3">
      <c r="A1332" s="20"/>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row>
    <row r="1333" spans="1:25" x14ac:dyDescent="0.3">
      <c r="A1333" s="20"/>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row>
    <row r="1334" spans="1:25" x14ac:dyDescent="0.3">
      <c r="A1334" s="20"/>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row>
    <row r="1335" spans="1:25" x14ac:dyDescent="0.3">
      <c r="A1335" s="20"/>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row>
    <row r="1336" spans="1:25" x14ac:dyDescent="0.3">
      <c r="A1336" s="20"/>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row>
    <row r="1337" spans="1:25" x14ac:dyDescent="0.3">
      <c r="A1337" s="20"/>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row>
    <row r="1338" spans="1:25" x14ac:dyDescent="0.3">
      <c r="A1338" s="20"/>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row>
    <row r="1339" spans="1:25" x14ac:dyDescent="0.3">
      <c r="A1339" s="20"/>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row>
    <row r="1340" spans="1:25" x14ac:dyDescent="0.3">
      <c r="A1340" s="20"/>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row>
    <row r="1341" spans="1:25" x14ac:dyDescent="0.3">
      <c r="A1341" s="20"/>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row>
    <row r="1342" spans="1:25" x14ac:dyDescent="0.3">
      <c r="A1342" s="20"/>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row>
    <row r="1343" spans="1:25" x14ac:dyDescent="0.3">
      <c r="A1343" s="20"/>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row>
    <row r="1344" spans="1:25" x14ac:dyDescent="0.3">
      <c r="A1344" s="20"/>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row>
    <row r="1345" spans="1:25" x14ac:dyDescent="0.3">
      <c r="A1345" s="20"/>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row>
    <row r="1346" spans="1:25" x14ac:dyDescent="0.3">
      <c r="A1346" s="20"/>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row>
    <row r="1347" spans="1:25" x14ac:dyDescent="0.3">
      <c r="A1347" s="20"/>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row>
    <row r="1348" spans="1:25" x14ac:dyDescent="0.3">
      <c r="A1348" s="20"/>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row>
    <row r="1349" spans="1:25" x14ac:dyDescent="0.3">
      <c r="A1349" s="20"/>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row>
    <row r="1350" spans="1:25" x14ac:dyDescent="0.3">
      <c r="A1350" s="20"/>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row>
    <row r="1351" spans="1:25" x14ac:dyDescent="0.3">
      <c r="A1351" s="20"/>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row>
    <row r="1352" spans="1:25" x14ac:dyDescent="0.3">
      <c r="A1352" s="20"/>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row>
    <row r="1353" spans="1:25" x14ac:dyDescent="0.3">
      <c r="A1353" s="20"/>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row>
    <row r="1354" spans="1:25" x14ac:dyDescent="0.3">
      <c r="A1354" s="20"/>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row>
    <row r="1355" spans="1:25" x14ac:dyDescent="0.3">
      <c r="A1355" s="20"/>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row>
    <row r="1356" spans="1:25" x14ac:dyDescent="0.3">
      <c r="A1356" s="20"/>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row>
    <row r="1357" spans="1:25" x14ac:dyDescent="0.3">
      <c r="A1357" s="20"/>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row>
    <row r="1358" spans="1:25" x14ac:dyDescent="0.3">
      <c r="A1358" s="20"/>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row>
    <row r="1359" spans="1:25" x14ac:dyDescent="0.3">
      <c r="A1359" s="20"/>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row>
    <row r="1360" spans="1:25" x14ac:dyDescent="0.3">
      <c r="A1360" s="20"/>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row>
    <row r="1361" spans="1:25" x14ac:dyDescent="0.3">
      <c r="A1361" s="20"/>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row>
    <row r="1362" spans="1:25" x14ac:dyDescent="0.3">
      <c r="A1362" s="20"/>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row>
    <row r="1363" spans="1:25" x14ac:dyDescent="0.3">
      <c r="A1363" s="20"/>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row>
    <row r="1364" spans="1:25" x14ac:dyDescent="0.3">
      <c r="A1364" s="20"/>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row>
    <row r="1365" spans="1:25" x14ac:dyDescent="0.3">
      <c r="A1365" s="20"/>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row>
    <row r="1366" spans="1:25" x14ac:dyDescent="0.3">
      <c r="A1366" s="20"/>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row>
    <row r="1367" spans="1:25" x14ac:dyDescent="0.3">
      <c r="A1367" s="20"/>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row>
    <row r="1368" spans="1:25" x14ac:dyDescent="0.3">
      <c r="A1368" s="20"/>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row>
    <row r="1369" spans="1:25" x14ac:dyDescent="0.3">
      <c r="A1369" s="20"/>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row>
    <row r="1370" spans="1:25" x14ac:dyDescent="0.3">
      <c r="A1370" s="20"/>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row>
    <row r="1371" spans="1:25" x14ac:dyDescent="0.3">
      <c r="A1371" s="20"/>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row>
    <row r="1372" spans="1:25" x14ac:dyDescent="0.3">
      <c r="A1372" s="20"/>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row>
    <row r="1373" spans="1:25" x14ac:dyDescent="0.3">
      <c r="A1373" s="20"/>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row>
    <row r="1374" spans="1:25" x14ac:dyDescent="0.3">
      <c r="A1374" s="20"/>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row>
    <row r="1375" spans="1:25" x14ac:dyDescent="0.3">
      <c r="A1375" s="20"/>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row>
    <row r="1376" spans="1:25" x14ac:dyDescent="0.3">
      <c r="A1376" s="20"/>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row>
    <row r="1377" spans="1:25" x14ac:dyDescent="0.3">
      <c r="A1377" s="20"/>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row>
    <row r="1378" spans="1:25" x14ac:dyDescent="0.3">
      <c r="A1378" s="20"/>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row>
    <row r="1379" spans="1:25" x14ac:dyDescent="0.3">
      <c r="A1379" s="20"/>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row>
    <row r="1380" spans="1:25" x14ac:dyDescent="0.3">
      <c r="A1380" s="20"/>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row>
    <row r="1381" spans="1:25" x14ac:dyDescent="0.3">
      <c r="A1381" s="20"/>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row>
    <row r="1382" spans="1:25" x14ac:dyDescent="0.3">
      <c r="A1382" s="20"/>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row>
    <row r="1383" spans="1:25" x14ac:dyDescent="0.3">
      <c r="A1383" s="20"/>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row>
    <row r="1384" spans="1:25" x14ac:dyDescent="0.3">
      <c r="A1384" s="20"/>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row>
    <row r="1385" spans="1:25" x14ac:dyDescent="0.3">
      <c r="A1385" s="20"/>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row>
    <row r="1386" spans="1:25" x14ac:dyDescent="0.3">
      <c r="A1386" s="20"/>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row>
    <row r="1387" spans="1:25" x14ac:dyDescent="0.3">
      <c r="A1387" s="20"/>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row>
    <row r="1388" spans="1:25" x14ac:dyDescent="0.3">
      <c r="A1388" s="20"/>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row>
    <row r="1389" spans="1:25" x14ac:dyDescent="0.3">
      <c r="A1389" s="20"/>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row>
    <row r="1390" spans="1:25" x14ac:dyDescent="0.3">
      <c r="A1390" s="20"/>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row>
    <row r="1391" spans="1:25" x14ac:dyDescent="0.3">
      <c r="A1391" s="20"/>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row>
    <row r="1392" spans="1:25" x14ac:dyDescent="0.3">
      <c r="A1392" s="20"/>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row>
    <row r="1393" spans="1:25" x14ac:dyDescent="0.3">
      <c r="A1393" s="20"/>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row>
    <row r="1394" spans="1:25" x14ac:dyDescent="0.3">
      <c r="A1394" s="20"/>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row>
    <row r="1395" spans="1:25" x14ac:dyDescent="0.3">
      <c r="A1395" s="20"/>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row>
    <row r="1396" spans="1:25" x14ac:dyDescent="0.3">
      <c r="A1396" s="20"/>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row>
    <row r="1397" spans="1:25" x14ac:dyDescent="0.3">
      <c r="A1397" s="20"/>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row>
    <row r="1398" spans="1:25" x14ac:dyDescent="0.3">
      <c r="A1398" s="20"/>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row>
    <row r="1399" spans="1:25" x14ac:dyDescent="0.3">
      <c r="A1399" s="20"/>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row>
    <row r="1400" spans="1:25" x14ac:dyDescent="0.3">
      <c r="A1400" s="20"/>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row>
    <row r="1401" spans="1:25" x14ac:dyDescent="0.3">
      <c r="A1401" s="20"/>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row>
    <row r="1402" spans="1:25" x14ac:dyDescent="0.3">
      <c r="A1402" s="20"/>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row>
    <row r="1403" spans="1:25" x14ac:dyDescent="0.3">
      <c r="A1403" s="20"/>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row>
    <row r="1404" spans="1:25" x14ac:dyDescent="0.3">
      <c r="A1404" s="20"/>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row>
    <row r="1405" spans="1:25" x14ac:dyDescent="0.3">
      <c r="A1405" s="20"/>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row>
    <row r="1406" spans="1:25" x14ac:dyDescent="0.3">
      <c r="A1406" s="20"/>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row>
    <row r="1407" spans="1:25" x14ac:dyDescent="0.3">
      <c r="A1407" s="20"/>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row>
    <row r="1408" spans="1:25" x14ac:dyDescent="0.3">
      <c r="A1408" s="20"/>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row>
    <row r="1409" spans="1:25" x14ac:dyDescent="0.3">
      <c r="A1409" s="20"/>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row>
    <row r="1410" spans="1:25" x14ac:dyDescent="0.3">
      <c r="A1410" s="20"/>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row>
    <row r="1411" spans="1:25" x14ac:dyDescent="0.3">
      <c r="A1411" s="20"/>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row>
    <row r="1412" spans="1:25" x14ac:dyDescent="0.3">
      <c r="A1412" s="20"/>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row>
    <row r="1413" spans="1:25" x14ac:dyDescent="0.3">
      <c r="A1413" s="20"/>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row>
    <row r="1414" spans="1:25" x14ac:dyDescent="0.3">
      <c r="A1414" s="20"/>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row>
    <row r="1415" spans="1:25" x14ac:dyDescent="0.3">
      <c r="A1415" s="20"/>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row>
    <row r="1416" spans="1:25" x14ac:dyDescent="0.3">
      <c r="A1416" s="20"/>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row>
    <row r="1417" spans="1:25" x14ac:dyDescent="0.3">
      <c r="A1417" s="20"/>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row>
    <row r="1418" spans="1:25" x14ac:dyDescent="0.3">
      <c r="A1418" s="20"/>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row>
    <row r="1419" spans="1:25" x14ac:dyDescent="0.3">
      <c r="A1419" s="20"/>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row>
    <row r="1420" spans="1:25" x14ac:dyDescent="0.3">
      <c r="A1420" s="20"/>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row>
    <row r="1421" spans="1:25" x14ac:dyDescent="0.3">
      <c r="A1421" s="20"/>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row>
    <row r="1422" spans="1:25" x14ac:dyDescent="0.3">
      <c r="A1422" s="20"/>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row>
    <row r="1423" spans="1:25" x14ac:dyDescent="0.3">
      <c r="A1423" s="20"/>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row>
    <row r="1424" spans="1:25" x14ac:dyDescent="0.3">
      <c r="A1424" s="20"/>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row>
    <row r="1425" spans="1:25" x14ac:dyDescent="0.3">
      <c r="A1425" s="20"/>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row>
    <row r="1426" spans="1:25" x14ac:dyDescent="0.3">
      <c r="A1426" s="20"/>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row>
    <row r="1427" spans="1:25" x14ac:dyDescent="0.3">
      <c r="A1427" s="20"/>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row>
    <row r="1428" spans="1:25" x14ac:dyDescent="0.3">
      <c r="A1428" s="20"/>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row>
    <row r="1429" spans="1:25" x14ac:dyDescent="0.3">
      <c r="A1429" s="20"/>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row>
    <row r="1430" spans="1:25" x14ac:dyDescent="0.3">
      <c r="A1430" s="20"/>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row>
    <row r="1431" spans="1:25" x14ac:dyDescent="0.3">
      <c r="A1431" s="20"/>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row>
    <row r="1432" spans="1:25" x14ac:dyDescent="0.3">
      <c r="A1432" s="20"/>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row>
    <row r="1433" spans="1:25" x14ac:dyDescent="0.3">
      <c r="A1433" s="20"/>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row>
    <row r="1434" spans="1:25" x14ac:dyDescent="0.3">
      <c r="A1434" s="20"/>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row>
    <row r="1435" spans="1:25" x14ac:dyDescent="0.3">
      <c r="A1435" s="20"/>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row>
    <row r="1436" spans="1:25" x14ac:dyDescent="0.3">
      <c r="A1436" s="20"/>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row>
    <row r="1437" spans="1:25" x14ac:dyDescent="0.3">
      <c r="A1437" s="20"/>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row>
    <row r="1438" spans="1:25" x14ac:dyDescent="0.3">
      <c r="A1438" s="20"/>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row>
    <row r="1439" spans="1:25" x14ac:dyDescent="0.3">
      <c r="A1439" s="20"/>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row>
    <row r="1440" spans="1:25" x14ac:dyDescent="0.3">
      <c r="A1440" s="20"/>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row>
    <row r="1441" spans="1:25" x14ac:dyDescent="0.3">
      <c r="A1441" s="20"/>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row>
    <row r="1442" spans="1:25" x14ac:dyDescent="0.3">
      <c r="A1442" s="20"/>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row>
    <row r="1443" spans="1:25" x14ac:dyDescent="0.3">
      <c r="A1443" s="20"/>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row>
    <row r="1444" spans="1:25" x14ac:dyDescent="0.3">
      <c r="A1444" s="20"/>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row>
    <row r="1445" spans="1:25" x14ac:dyDescent="0.3">
      <c r="A1445" s="20"/>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row>
    <row r="1446" spans="1:25" x14ac:dyDescent="0.3">
      <c r="A1446" s="20"/>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row>
    <row r="1447" spans="1:25" x14ac:dyDescent="0.3">
      <c r="A1447" s="20"/>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row>
    <row r="1448" spans="1:25" x14ac:dyDescent="0.3">
      <c r="A1448" s="20"/>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row>
    <row r="1449" spans="1:25" x14ac:dyDescent="0.3">
      <c r="A1449" s="20"/>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row>
    <row r="1450" spans="1:25" x14ac:dyDescent="0.3">
      <c r="A1450" s="20"/>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row>
    <row r="1451" spans="1:25" x14ac:dyDescent="0.3">
      <c r="A1451" s="20"/>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row>
    <row r="1452" spans="1:25" x14ac:dyDescent="0.3">
      <c r="A1452" s="20"/>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row>
    <row r="1453" spans="1:25" x14ac:dyDescent="0.3">
      <c r="A1453" s="20"/>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row>
    <row r="1454" spans="1:25" x14ac:dyDescent="0.3">
      <c r="A1454" s="20"/>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row>
    <row r="1455" spans="1:25" x14ac:dyDescent="0.3">
      <c r="A1455" s="20"/>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row>
    <row r="1456" spans="1:25" x14ac:dyDescent="0.3">
      <c r="A1456" s="20"/>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row>
    <row r="1457" spans="1:25" x14ac:dyDescent="0.3">
      <c r="A1457" s="20"/>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row>
    <row r="1458" spans="1:25" x14ac:dyDescent="0.3">
      <c r="A1458" s="20"/>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row>
    <row r="1459" spans="1:25" x14ac:dyDescent="0.3">
      <c r="A1459" s="20"/>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row>
    <row r="1460" spans="1:25" x14ac:dyDescent="0.3">
      <c r="A1460" s="20"/>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row>
    <row r="1461" spans="1:25" x14ac:dyDescent="0.3">
      <c r="A1461" s="20"/>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row>
    <row r="1462" spans="1:25" x14ac:dyDescent="0.3">
      <c r="A1462" s="20"/>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row>
    <row r="1463" spans="1:25" x14ac:dyDescent="0.3">
      <c r="A1463" s="20"/>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row>
    <row r="1464" spans="1:25" x14ac:dyDescent="0.3">
      <c r="A1464" s="20"/>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row>
    <row r="1465" spans="1:25" x14ac:dyDescent="0.3">
      <c r="A1465" s="20"/>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row>
    <row r="1466" spans="1:25" x14ac:dyDescent="0.3">
      <c r="A1466" s="20"/>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row>
    <row r="1467" spans="1:25" x14ac:dyDescent="0.3">
      <c r="A1467" s="20"/>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row>
    <row r="1468" spans="1:25" x14ac:dyDescent="0.3">
      <c r="A1468" s="20"/>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row>
    <row r="1469" spans="1:25" x14ac:dyDescent="0.3">
      <c r="A1469" s="20"/>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row>
    <row r="1470" spans="1:25" x14ac:dyDescent="0.3">
      <c r="A1470" s="20"/>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row>
    <row r="1471" spans="1:25" x14ac:dyDescent="0.3">
      <c r="A1471" s="20"/>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row>
    <row r="1472" spans="1:25" x14ac:dyDescent="0.3">
      <c r="A1472" s="20"/>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row>
    <row r="1473" spans="1:25" x14ac:dyDescent="0.3">
      <c r="A1473" s="20"/>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row>
    <row r="1474" spans="1:25" x14ac:dyDescent="0.3">
      <c r="A1474" s="20"/>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row>
    <row r="1475" spans="1:25" x14ac:dyDescent="0.3">
      <c r="A1475" s="20"/>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row>
    <row r="1476" spans="1:25" x14ac:dyDescent="0.3">
      <c r="A1476" s="20"/>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row>
    <row r="1477" spans="1:25" x14ac:dyDescent="0.3">
      <c r="A1477" s="20"/>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row>
    <row r="1478" spans="1:25" x14ac:dyDescent="0.3">
      <c r="A1478" s="20"/>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row>
    <row r="1479" spans="1:25" x14ac:dyDescent="0.3">
      <c r="A1479" s="20"/>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row>
    <row r="1480" spans="1:25" x14ac:dyDescent="0.3">
      <c r="A1480" s="20"/>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row>
    <row r="1481" spans="1:25" x14ac:dyDescent="0.3">
      <c r="A1481" s="20"/>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row>
    <row r="1482" spans="1:25" x14ac:dyDescent="0.3">
      <c r="A1482" s="20"/>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row>
    <row r="1483" spans="1:25" x14ac:dyDescent="0.3">
      <c r="A1483" s="20"/>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row>
    <row r="1484" spans="1:25" x14ac:dyDescent="0.3">
      <c r="A1484" s="20"/>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row>
    <row r="1485" spans="1:25" x14ac:dyDescent="0.3">
      <c r="A1485" s="20"/>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row>
    <row r="1486" spans="1:25" x14ac:dyDescent="0.3">
      <c r="A1486" s="20"/>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row>
    <row r="1487" spans="1:25" x14ac:dyDescent="0.3">
      <c r="A1487" s="20"/>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row>
    <row r="1488" spans="1:25" x14ac:dyDescent="0.3">
      <c r="A1488" s="20"/>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row>
    <row r="1489" spans="1:25" x14ac:dyDescent="0.3">
      <c r="A1489" s="20"/>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row>
    <row r="1490" spans="1:25" x14ac:dyDescent="0.3">
      <c r="A1490" s="20"/>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row>
    <row r="1491" spans="1:25" x14ac:dyDescent="0.3">
      <c r="A1491" s="20"/>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row>
    <row r="1492" spans="1:25" x14ac:dyDescent="0.3">
      <c r="A1492" s="20"/>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row>
    <row r="1493" spans="1:25" x14ac:dyDescent="0.3">
      <c r="A1493" s="20"/>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row>
    <row r="1494" spans="1:25" x14ac:dyDescent="0.3">
      <c r="A1494" s="20"/>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row>
    <row r="1495" spans="1:25" x14ac:dyDescent="0.3">
      <c r="A1495" s="20"/>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row>
    <row r="1496" spans="1:25" x14ac:dyDescent="0.3">
      <c r="A1496" s="20"/>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row>
    <row r="1497" spans="1:25" x14ac:dyDescent="0.3">
      <c r="A1497" s="20"/>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row>
    <row r="1498" spans="1:25" x14ac:dyDescent="0.3">
      <c r="A1498" s="20"/>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row>
    <row r="1499" spans="1:25" x14ac:dyDescent="0.3">
      <c r="A1499" s="20"/>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row>
    <row r="1500" spans="1:25" x14ac:dyDescent="0.3">
      <c r="A1500" s="20"/>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row>
    <row r="1501" spans="1:25" x14ac:dyDescent="0.3">
      <c r="A1501" s="20"/>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row>
    <row r="1502" spans="1:25" x14ac:dyDescent="0.3">
      <c r="A1502" s="20"/>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row>
    <row r="1503" spans="1:25" x14ac:dyDescent="0.3">
      <c r="A1503" s="20"/>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row>
    <row r="1504" spans="1:25" x14ac:dyDescent="0.3">
      <c r="A1504" s="20"/>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row>
    <row r="1505" spans="1:25" x14ac:dyDescent="0.3">
      <c r="A1505" s="20"/>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row>
    <row r="1506" spans="1:25" x14ac:dyDescent="0.3">
      <c r="A1506" s="20"/>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row>
    <row r="1507" spans="1:25" x14ac:dyDescent="0.3">
      <c r="A1507" s="20"/>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row>
    <row r="1508" spans="1:25" x14ac:dyDescent="0.3">
      <c r="A1508" s="20"/>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row>
    <row r="1509" spans="1:25" x14ac:dyDescent="0.3">
      <c r="A1509" s="20"/>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row>
    <row r="1510" spans="1:25" x14ac:dyDescent="0.3">
      <c r="A1510" s="20"/>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row>
    <row r="1511" spans="1:25" x14ac:dyDescent="0.3">
      <c r="A1511" s="20"/>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row>
    <row r="1512" spans="1:25" x14ac:dyDescent="0.3">
      <c r="A1512" s="20"/>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row>
    <row r="1513" spans="1:25" x14ac:dyDescent="0.3">
      <c r="A1513" s="20"/>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row>
    <row r="1514" spans="1:25" x14ac:dyDescent="0.3">
      <c r="A1514" s="20"/>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row>
    <row r="1515" spans="1:25" x14ac:dyDescent="0.3">
      <c r="A1515" s="20"/>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row>
    <row r="1516" spans="1:25" x14ac:dyDescent="0.3">
      <c r="A1516" s="20"/>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row>
    <row r="1517" spans="1:25" x14ac:dyDescent="0.3">
      <c r="A1517" s="20"/>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row>
    <row r="1518" spans="1:25" x14ac:dyDescent="0.3">
      <c r="A1518" s="20"/>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row>
    <row r="1519" spans="1:25" x14ac:dyDescent="0.3">
      <c r="A1519" s="20"/>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row>
    <row r="1520" spans="1:25" x14ac:dyDescent="0.3">
      <c r="A1520" s="20"/>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row>
    <row r="1521" spans="1:25" x14ac:dyDescent="0.3">
      <c r="A1521" s="20"/>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row>
    <row r="1522" spans="1:25" x14ac:dyDescent="0.3">
      <c r="A1522" s="20"/>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row>
    <row r="1523" spans="1:25" x14ac:dyDescent="0.3">
      <c r="A1523" s="20"/>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row>
    <row r="1524" spans="1:25" x14ac:dyDescent="0.3">
      <c r="A1524" s="20"/>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row>
    <row r="1525" spans="1:25" x14ac:dyDescent="0.3">
      <c r="A1525" s="20"/>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row>
    <row r="1526" spans="1:25" x14ac:dyDescent="0.3">
      <c r="A1526" s="20"/>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row>
    <row r="1527" spans="1:25" x14ac:dyDescent="0.3">
      <c r="A1527" s="20"/>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row>
    <row r="1528" spans="1:25" x14ac:dyDescent="0.3">
      <c r="A1528" s="20"/>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row>
    <row r="1529" spans="1:25" x14ac:dyDescent="0.3">
      <c r="A1529" s="20"/>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row>
    <row r="1530" spans="1:25" x14ac:dyDescent="0.3">
      <c r="A1530" s="20"/>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row>
    <row r="1531" spans="1:25" x14ac:dyDescent="0.3">
      <c r="A1531" s="20"/>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row>
    <row r="1532" spans="1:25" x14ac:dyDescent="0.3">
      <c r="A1532" s="20"/>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row>
    <row r="1533" spans="1:25" x14ac:dyDescent="0.3">
      <c r="A1533" s="20"/>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row>
    <row r="1534" spans="1:25" x14ac:dyDescent="0.3">
      <c r="A1534" s="20"/>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row>
    <row r="1535" spans="1:25" x14ac:dyDescent="0.3">
      <c r="A1535" s="20"/>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row>
    <row r="1536" spans="1:25" x14ac:dyDescent="0.3">
      <c r="A1536" s="20"/>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row>
    <row r="1537" spans="1:25" x14ac:dyDescent="0.3">
      <c r="A1537" s="20"/>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row>
    <row r="1538" spans="1:25" x14ac:dyDescent="0.3">
      <c r="A1538" s="20"/>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row>
    <row r="1539" spans="1:25" x14ac:dyDescent="0.3">
      <c r="A1539" s="20"/>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row>
    <row r="1540" spans="1:25" x14ac:dyDescent="0.3">
      <c r="A1540" s="2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row>
    <row r="1541" spans="1:25" x14ac:dyDescent="0.3">
      <c r="A1541" s="20"/>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row>
    <row r="1542" spans="1:25" x14ac:dyDescent="0.3">
      <c r="A1542" s="20"/>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row>
    <row r="1543" spans="1:25" x14ac:dyDescent="0.3">
      <c r="A1543" s="20"/>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row>
    <row r="1544" spans="1:25" x14ac:dyDescent="0.3">
      <c r="A1544" s="20"/>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row>
    <row r="1545" spans="1:25" x14ac:dyDescent="0.3">
      <c r="A1545" s="20"/>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row>
    <row r="1546" spans="1:25" x14ac:dyDescent="0.3">
      <c r="A1546" s="20"/>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row>
    <row r="1547" spans="1:25" x14ac:dyDescent="0.3">
      <c r="A1547" s="20"/>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row>
    <row r="1548" spans="1:25" x14ac:dyDescent="0.3">
      <c r="A1548" s="20"/>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row>
    <row r="1549" spans="1:25" x14ac:dyDescent="0.3">
      <c r="A1549" s="20"/>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row>
    <row r="1550" spans="1:25" x14ac:dyDescent="0.3">
      <c r="A1550" s="2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row>
    <row r="1551" spans="1:25" x14ac:dyDescent="0.3">
      <c r="A1551" s="20"/>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row>
    <row r="1552" spans="1:25" x14ac:dyDescent="0.3">
      <c r="A1552" s="20"/>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row>
    <row r="1553" spans="1:25" x14ac:dyDescent="0.3">
      <c r="A1553" s="20"/>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row>
    <row r="1554" spans="1:25" x14ac:dyDescent="0.3">
      <c r="A1554" s="20"/>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row>
    <row r="1555" spans="1:25" x14ac:dyDescent="0.3">
      <c r="A1555" s="20"/>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row>
    <row r="1556" spans="1:25" x14ac:dyDescent="0.3">
      <c r="A1556" s="20"/>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row>
    <row r="1557" spans="1:25" x14ac:dyDescent="0.3">
      <c r="A1557" s="20"/>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row>
    <row r="1558" spans="1:25" x14ac:dyDescent="0.3">
      <c r="A1558" s="20"/>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row>
    <row r="1559" spans="1:25" x14ac:dyDescent="0.3">
      <c r="A1559" s="20"/>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row>
    <row r="1560" spans="1:25" x14ac:dyDescent="0.3">
      <c r="A1560" s="20"/>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row>
    <row r="1561" spans="1:25" x14ac:dyDescent="0.3">
      <c r="A1561" s="20"/>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row>
    <row r="1562" spans="1:25" x14ac:dyDescent="0.3">
      <c r="A1562" s="20"/>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row>
    <row r="1563" spans="1:25" x14ac:dyDescent="0.3">
      <c r="A1563" s="20"/>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row>
    <row r="1564" spans="1:25" x14ac:dyDescent="0.3">
      <c r="A1564" s="20"/>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row>
    <row r="1565" spans="1:25" x14ac:dyDescent="0.3">
      <c r="A1565" s="20"/>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row>
    <row r="1566" spans="1:25" x14ac:dyDescent="0.3">
      <c r="A1566" s="20"/>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row>
    <row r="1567" spans="1:25" x14ac:dyDescent="0.3">
      <c r="A1567" s="20"/>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row>
    <row r="1568" spans="1:25" x14ac:dyDescent="0.3">
      <c r="A1568" s="20"/>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row>
    <row r="1569" spans="1:25" x14ac:dyDescent="0.3">
      <c r="A1569" s="20"/>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row>
    <row r="1570" spans="1:25" x14ac:dyDescent="0.3">
      <c r="A1570" s="2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row>
    <row r="1571" spans="1:25" x14ac:dyDescent="0.3">
      <c r="A1571" s="20"/>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row>
    <row r="1572" spans="1:25" x14ac:dyDescent="0.3">
      <c r="A1572" s="20"/>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row>
    <row r="1573" spans="1:25" x14ac:dyDescent="0.3">
      <c r="A1573" s="20"/>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row>
    <row r="1574" spans="1:25" x14ac:dyDescent="0.3">
      <c r="A1574" s="20"/>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row>
    <row r="1575" spans="1:25" x14ac:dyDescent="0.3">
      <c r="A1575" s="20"/>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row>
    <row r="1576" spans="1:25" x14ac:dyDescent="0.3">
      <c r="A1576" s="20"/>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row>
    <row r="1577" spans="1:25" x14ac:dyDescent="0.3">
      <c r="A1577" s="20"/>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row>
    <row r="1578" spans="1:25" x14ac:dyDescent="0.3">
      <c r="A1578" s="20"/>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row>
    <row r="1579" spans="1:25" x14ac:dyDescent="0.3">
      <c r="A1579" s="20"/>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row>
    <row r="1580" spans="1:25" x14ac:dyDescent="0.3">
      <c r="A1580" s="20"/>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row>
    <row r="1581" spans="1:25" x14ac:dyDescent="0.3">
      <c r="A1581" s="20"/>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row>
    <row r="1582" spans="1:25" x14ac:dyDescent="0.3">
      <c r="A1582" s="20"/>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row>
    <row r="1583" spans="1:25" x14ac:dyDescent="0.3">
      <c r="A1583" s="20"/>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row>
    <row r="1584" spans="1:25" x14ac:dyDescent="0.3">
      <c r="A1584" s="20"/>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row>
    <row r="1585" spans="1:25" x14ac:dyDescent="0.3">
      <c r="A1585" s="20"/>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row>
    <row r="1586" spans="1:25" x14ac:dyDescent="0.3">
      <c r="A1586" s="20"/>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row>
    <row r="1587" spans="1:25" x14ac:dyDescent="0.3">
      <c r="A1587" s="20"/>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row>
    <row r="1588" spans="1:25" x14ac:dyDescent="0.3">
      <c r="A1588" s="20"/>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row>
    <row r="1589" spans="1:25" x14ac:dyDescent="0.3">
      <c r="A1589" s="20"/>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row>
    <row r="1590" spans="1:25" x14ac:dyDescent="0.3">
      <c r="A1590" s="20"/>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row>
    <row r="1591" spans="1:25" x14ac:dyDescent="0.3">
      <c r="A1591" s="20"/>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row>
    <row r="1592" spans="1:25" x14ac:dyDescent="0.3">
      <c r="A1592" s="20"/>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row>
    <row r="1593" spans="1:25" x14ac:dyDescent="0.3">
      <c r="A1593" s="20"/>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row>
    <row r="1594" spans="1:25" x14ac:dyDescent="0.3">
      <c r="A1594" s="20"/>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row>
    <row r="1595" spans="1:25" x14ac:dyDescent="0.3">
      <c r="A1595" s="20"/>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row>
    <row r="1596" spans="1:25" x14ac:dyDescent="0.3">
      <c r="A1596" s="20"/>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row>
    <row r="1597" spans="1:25" x14ac:dyDescent="0.3">
      <c r="A1597" s="20"/>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row>
    <row r="1598" spans="1:25" x14ac:dyDescent="0.3">
      <c r="A1598" s="20"/>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row>
    <row r="1599" spans="1:25" x14ac:dyDescent="0.3">
      <c r="A1599" s="20"/>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row>
    <row r="1600" spans="1:25" x14ac:dyDescent="0.3">
      <c r="A1600" s="20"/>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row>
    <row r="1601" spans="1:25" x14ac:dyDescent="0.3">
      <c r="A1601" s="20"/>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row>
    <row r="1602" spans="1:25" x14ac:dyDescent="0.3">
      <c r="A1602" s="20"/>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row>
    <row r="1603" spans="1:25" x14ac:dyDescent="0.3">
      <c r="A1603" s="20"/>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row>
    <row r="1604" spans="1:25" x14ac:dyDescent="0.3">
      <c r="A1604" s="20"/>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row>
    <row r="1605" spans="1:25" x14ac:dyDescent="0.3">
      <c r="A1605" s="20"/>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row>
    <row r="1606" spans="1:25" x14ac:dyDescent="0.3">
      <c r="A1606" s="20"/>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row>
    <row r="1607" spans="1:25" x14ac:dyDescent="0.3">
      <c r="A1607" s="20"/>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row>
    <row r="1608" spans="1:25" x14ac:dyDescent="0.3">
      <c r="A1608" s="20"/>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row>
    <row r="1609" spans="1:25" x14ac:dyDescent="0.3">
      <c r="A1609" s="20"/>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row>
    <row r="1610" spans="1:25" x14ac:dyDescent="0.3">
      <c r="A1610" s="20"/>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row>
    <row r="1611" spans="1:25" x14ac:dyDescent="0.3">
      <c r="A1611" s="20"/>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row>
    <row r="1612" spans="1:25" x14ac:dyDescent="0.3">
      <c r="A1612" s="20"/>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row>
    <row r="1613" spans="1:25" x14ac:dyDescent="0.3">
      <c r="A1613" s="20"/>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row>
    <row r="1614" spans="1:25" x14ac:dyDescent="0.3">
      <c r="A1614" s="20"/>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row>
    <row r="1615" spans="1:25" x14ac:dyDescent="0.3">
      <c r="A1615" s="20"/>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row>
    <row r="1616" spans="1:25" x14ac:dyDescent="0.3">
      <c r="A1616" s="20"/>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row>
    <row r="1617" spans="1:25" x14ac:dyDescent="0.3">
      <c r="A1617" s="20"/>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row>
    <row r="1618" spans="1:25" x14ac:dyDescent="0.3">
      <c r="A1618" s="20"/>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row>
    <row r="1619" spans="1:25" x14ac:dyDescent="0.3">
      <c r="A1619" s="20"/>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row>
    <row r="1620" spans="1:25" x14ac:dyDescent="0.3">
      <c r="A1620" s="20"/>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row>
    <row r="1621" spans="1:25" x14ac:dyDescent="0.3">
      <c r="A1621" s="20"/>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row>
    <row r="1622" spans="1:25" x14ac:dyDescent="0.3">
      <c r="A1622" s="20"/>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row>
    <row r="1623" spans="1:25" x14ac:dyDescent="0.3">
      <c r="A1623" s="20"/>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row>
    <row r="1624" spans="1:25" x14ac:dyDescent="0.3">
      <c r="A1624" s="20"/>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row>
    <row r="1625" spans="1:25" x14ac:dyDescent="0.3">
      <c r="A1625" s="20"/>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row>
    <row r="1626" spans="1:25" x14ac:dyDescent="0.3">
      <c r="A1626" s="20"/>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row>
    <row r="1627" spans="1:25" x14ac:dyDescent="0.3">
      <c r="A1627" s="20"/>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row>
    <row r="1628" spans="1:25" x14ac:dyDescent="0.3">
      <c r="A1628" s="20"/>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row>
    <row r="1629" spans="1:25" x14ac:dyDescent="0.3">
      <c r="A1629" s="20"/>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row>
    <row r="1630" spans="1:25" x14ac:dyDescent="0.3">
      <c r="A1630" s="20"/>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row>
    <row r="1631" spans="1:25" x14ac:dyDescent="0.3">
      <c r="A1631" s="20"/>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row>
    <row r="1632" spans="1:25" x14ac:dyDescent="0.3">
      <c r="A1632" s="20"/>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row>
    <row r="1633" spans="1:25" x14ac:dyDescent="0.3">
      <c r="A1633" s="20"/>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row>
    <row r="1634" spans="1:25" x14ac:dyDescent="0.3">
      <c r="A1634" s="20"/>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row>
    <row r="1635" spans="1:25" x14ac:dyDescent="0.3">
      <c r="A1635" s="20"/>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row>
    <row r="1636" spans="1:25" x14ac:dyDescent="0.3">
      <c r="A1636" s="20"/>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row>
    <row r="1637" spans="1:25" x14ac:dyDescent="0.3">
      <c r="A1637" s="20"/>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row>
    <row r="1638" spans="1:25" x14ac:dyDescent="0.3">
      <c r="A1638" s="20"/>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row>
    <row r="1639" spans="1:25" x14ac:dyDescent="0.3">
      <c r="A1639" s="20"/>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row>
    <row r="1640" spans="1:25" x14ac:dyDescent="0.3">
      <c r="A1640" s="20"/>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row>
    <row r="1641" spans="1:25" x14ac:dyDescent="0.3">
      <c r="A1641" s="20"/>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row>
    <row r="1642" spans="1:25" x14ac:dyDescent="0.3">
      <c r="A1642" s="20"/>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row>
    <row r="1643" spans="1:25" x14ac:dyDescent="0.3">
      <c r="A1643" s="20"/>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row>
    <row r="1644" spans="1:25" x14ac:dyDescent="0.3">
      <c r="A1644" s="20"/>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row>
    <row r="1645" spans="1:25" x14ac:dyDescent="0.3">
      <c r="A1645" s="20"/>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row>
    <row r="1646" spans="1:25" x14ac:dyDescent="0.3">
      <c r="A1646" s="20"/>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row>
    <row r="1647" spans="1:25" x14ac:dyDescent="0.3">
      <c r="A1647" s="20"/>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row>
    <row r="1648" spans="1:25" x14ac:dyDescent="0.3">
      <c r="A1648" s="20"/>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row>
    <row r="1649" spans="1:25" x14ac:dyDescent="0.3">
      <c r="A1649" s="20"/>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row>
    <row r="1650" spans="1:25" x14ac:dyDescent="0.3">
      <c r="A1650" s="20"/>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row>
    <row r="1651" spans="1:25" x14ac:dyDescent="0.3">
      <c r="A1651" s="20"/>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row>
    <row r="1652" spans="1:25" x14ac:dyDescent="0.3">
      <c r="A1652" s="20"/>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row>
    <row r="1653" spans="1:25" x14ac:dyDescent="0.3">
      <c r="A1653" s="20"/>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row>
    <row r="1654" spans="1:25" x14ac:dyDescent="0.3">
      <c r="A1654" s="20"/>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row>
    <row r="1655" spans="1:25" x14ac:dyDescent="0.3">
      <c r="A1655" s="20"/>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row>
    <row r="1656" spans="1:25" x14ac:dyDescent="0.3">
      <c r="A1656" s="20"/>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row>
    <row r="1657" spans="1:25" x14ac:dyDescent="0.3">
      <c r="A1657" s="20"/>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row>
    <row r="1658" spans="1:25" x14ac:dyDescent="0.3">
      <c r="A1658" s="20"/>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row>
    <row r="1659" spans="1:25" x14ac:dyDescent="0.3">
      <c r="A1659" s="20"/>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row>
    <row r="1660" spans="1:25" x14ac:dyDescent="0.3">
      <c r="A1660" s="20"/>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row>
    <row r="1661" spans="1:25" x14ac:dyDescent="0.3">
      <c r="A1661" s="20"/>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row>
    <row r="1662" spans="1:25" x14ac:dyDescent="0.3">
      <c r="A1662" s="20"/>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row>
    <row r="1663" spans="1:25" x14ac:dyDescent="0.3">
      <c r="A1663" s="20"/>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row>
    <row r="1664" spans="1:25" x14ac:dyDescent="0.3">
      <c r="A1664" s="20"/>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row>
    <row r="1665" spans="1:25" x14ac:dyDescent="0.3">
      <c r="A1665" s="20"/>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row>
    <row r="1666" spans="1:25" x14ac:dyDescent="0.3">
      <c r="A1666" s="20"/>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row>
    <row r="1667" spans="1:25" x14ac:dyDescent="0.3">
      <c r="A1667" s="20"/>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row>
    <row r="1668" spans="1:25" x14ac:dyDescent="0.3">
      <c r="A1668" s="20"/>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row>
    <row r="1669" spans="1:25" x14ac:dyDescent="0.3">
      <c r="A1669" s="20"/>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row>
    <row r="1670" spans="1:25" x14ac:dyDescent="0.3">
      <c r="A1670" s="20"/>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row>
    <row r="1671" spans="1:25" x14ac:dyDescent="0.3">
      <c r="A1671" s="20"/>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row>
    <row r="1672" spans="1:25" x14ac:dyDescent="0.3">
      <c r="A1672" s="20"/>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row>
    <row r="1673" spans="1:25" x14ac:dyDescent="0.3">
      <c r="A1673" s="20"/>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row>
    <row r="1674" spans="1:25" x14ac:dyDescent="0.3">
      <c r="A1674" s="20"/>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row>
    <row r="1675" spans="1:25" x14ac:dyDescent="0.3">
      <c r="A1675" s="20"/>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row>
    <row r="1676" spans="1:25" x14ac:dyDescent="0.3">
      <c r="A1676" s="20"/>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row>
    <row r="1677" spans="1:25" x14ac:dyDescent="0.3">
      <c r="A1677" s="20"/>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row>
    <row r="1678" spans="1:25" x14ac:dyDescent="0.3">
      <c r="A1678" s="20"/>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row>
    <row r="1679" spans="1:25" x14ac:dyDescent="0.3">
      <c r="A1679" s="20"/>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row>
    <row r="1680" spans="1:25" x14ac:dyDescent="0.3">
      <c r="A1680" s="20"/>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row>
    <row r="1681" spans="1:25" x14ac:dyDescent="0.3">
      <c r="A1681" s="20"/>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row>
    <row r="1682" spans="1:25" x14ac:dyDescent="0.3">
      <c r="A1682" s="20"/>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row>
    <row r="1683" spans="1:25" x14ac:dyDescent="0.3">
      <c r="A1683" s="20"/>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row>
    <row r="1684" spans="1:25" x14ac:dyDescent="0.3">
      <c r="A1684" s="20"/>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row>
    <row r="1685" spans="1:25" x14ac:dyDescent="0.3">
      <c r="A1685" s="20"/>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row>
    <row r="1686" spans="1:25" x14ac:dyDescent="0.3">
      <c r="A1686" s="20"/>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row>
    <row r="1687" spans="1:25" x14ac:dyDescent="0.3">
      <c r="A1687" s="20"/>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row>
    <row r="1688" spans="1:25" x14ac:dyDescent="0.3">
      <c r="A1688" s="20"/>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row>
    <row r="1689" spans="1:25" x14ac:dyDescent="0.3">
      <c r="A1689" s="20"/>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row>
    <row r="1690" spans="1:25" x14ac:dyDescent="0.3">
      <c r="A1690" s="20"/>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row>
    <row r="1691" spans="1:25" x14ac:dyDescent="0.3">
      <c r="A1691" s="20"/>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row>
    <row r="1692" spans="1:25" x14ac:dyDescent="0.3">
      <c r="A1692" s="20"/>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row>
    <row r="1693" spans="1:25" x14ac:dyDescent="0.3">
      <c r="A1693" s="20"/>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row>
    <row r="1694" spans="1:25" x14ac:dyDescent="0.3">
      <c r="A1694" s="20"/>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row>
    <row r="1695" spans="1:25" x14ac:dyDescent="0.3">
      <c r="A1695" s="20"/>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row>
    <row r="1696" spans="1:25" x14ac:dyDescent="0.3">
      <c r="A1696" s="20"/>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row>
    <row r="1697" spans="1:25" x14ac:dyDescent="0.3">
      <c r="A1697" s="20"/>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row>
    <row r="1698" spans="1:25" x14ac:dyDescent="0.3">
      <c r="A1698" s="20"/>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row>
    <row r="1699" spans="1:25" x14ac:dyDescent="0.3">
      <c r="A1699" s="20"/>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row>
    <row r="1700" spans="1:25" x14ac:dyDescent="0.3">
      <c r="A1700" s="20"/>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row>
    <row r="1701" spans="1:25" x14ac:dyDescent="0.3">
      <c r="A1701" s="20"/>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row>
    <row r="1702" spans="1:25" x14ac:dyDescent="0.3">
      <c r="A1702" s="20"/>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row>
    <row r="1703" spans="1:25" x14ac:dyDescent="0.3">
      <c r="A1703" s="20"/>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row>
    <row r="1704" spans="1:25" x14ac:dyDescent="0.3">
      <c r="A1704" s="20"/>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row>
    <row r="1705" spans="1:25" x14ac:dyDescent="0.3">
      <c r="A1705" s="20"/>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row>
    <row r="1706" spans="1:25" x14ac:dyDescent="0.3">
      <c r="A1706" s="20"/>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row>
    <row r="1707" spans="1:25" x14ac:dyDescent="0.3">
      <c r="A1707" s="20"/>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row>
    <row r="1708" spans="1:25" x14ac:dyDescent="0.3">
      <c r="A1708" s="20"/>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row>
    <row r="1709" spans="1:25" x14ac:dyDescent="0.3">
      <c r="A1709" s="20"/>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row>
    <row r="1710" spans="1:25" x14ac:dyDescent="0.3">
      <c r="A1710" s="20"/>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row>
    <row r="1711" spans="1:25" x14ac:dyDescent="0.3">
      <c r="A1711" s="20"/>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row>
    <row r="1712" spans="1:25" x14ac:dyDescent="0.3">
      <c r="A1712" s="20"/>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row>
    <row r="1713" spans="1:25" x14ac:dyDescent="0.3">
      <c r="A1713" s="20"/>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row>
    <row r="1714" spans="1:25" x14ac:dyDescent="0.3">
      <c r="A1714" s="20"/>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row>
    <row r="1715" spans="1:25" x14ac:dyDescent="0.3">
      <c r="A1715" s="20"/>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row>
    <row r="1716" spans="1:25" x14ac:dyDescent="0.3">
      <c r="A1716" s="20"/>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row>
    <row r="1717" spans="1:25" x14ac:dyDescent="0.3">
      <c r="A1717" s="20"/>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row>
    <row r="1718" spans="1:25" x14ac:dyDescent="0.3">
      <c r="A1718" s="20"/>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row>
    <row r="1719" spans="1:25" x14ac:dyDescent="0.3">
      <c r="A1719" s="20"/>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row>
    <row r="1720" spans="1:25" x14ac:dyDescent="0.3">
      <c r="A1720" s="20"/>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row>
    <row r="1721" spans="1:25" x14ac:dyDescent="0.3">
      <c r="A1721" s="20"/>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row>
    <row r="1722" spans="1:25" x14ac:dyDescent="0.3">
      <c r="A1722" s="20"/>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row>
    <row r="1723" spans="1:25" x14ac:dyDescent="0.3">
      <c r="A1723" s="20"/>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row>
    <row r="1724" spans="1:25" x14ac:dyDescent="0.3">
      <c r="A1724" s="20"/>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row>
    <row r="1725" spans="1:25" x14ac:dyDescent="0.3">
      <c r="A1725" s="20"/>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row>
    <row r="1726" spans="1:25" x14ac:dyDescent="0.3">
      <c r="A1726" s="20"/>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row>
    <row r="1727" spans="1:25" x14ac:dyDescent="0.3">
      <c r="A1727" s="20"/>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row>
    <row r="1728" spans="1:25" x14ac:dyDescent="0.3">
      <c r="A1728" s="20"/>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row>
    <row r="1729" spans="1:25" x14ac:dyDescent="0.3">
      <c r="A1729" s="20"/>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row>
    <row r="1730" spans="1:25" x14ac:dyDescent="0.3">
      <c r="A1730" s="20"/>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row>
    <row r="1731" spans="1:25" x14ac:dyDescent="0.3">
      <c r="A1731" s="20"/>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row>
    <row r="1732" spans="1:25" x14ac:dyDescent="0.3">
      <c r="A1732" s="20"/>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row>
    <row r="1733" spans="1:25" x14ac:dyDescent="0.3">
      <c r="A1733" s="20"/>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row>
    <row r="1734" spans="1:25" x14ac:dyDescent="0.3">
      <c r="A1734" s="20"/>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row>
    <row r="1735" spans="1:25" x14ac:dyDescent="0.3">
      <c r="A1735" s="20"/>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row>
    <row r="1736" spans="1:25" x14ac:dyDescent="0.3">
      <c r="A1736" s="20"/>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row>
    <row r="1737" spans="1:25" x14ac:dyDescent="0.3">
      <c r="A1737" s="20"/>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row>
    <row r="1738" spans="1:25" x14ac:dyDescent="0.3">
      <c r="A1738" s="20"/>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row>
    <row r="1739" spans="1:25" x14ac:dyDescent="0.3">
      <c r="A1739" s="20"/>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row>
    <row r="1740" spans="1:25" x14ac:dyDescent="0.3">
      <c r="A1740" s="20"/>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row>
    <row r="1741" spans="1:25" x14ac:dyDescent="0.3">
      <c r="A1741" s="20"/>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row>
    <row r="1742" spans="1:25" x14ac:dyDescent="0.3">
      <c r="A1742" s="20"/>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row>
    <row r="1743" spans="1:25" x14ac:dyDescent="0.3">
      <c r="A1743" s="20"/>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row>
    <row r="1744" spans="1:25" x14ac:dyDescent="0.3">
      <c r="A1744" s="20"/>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row>
    <row r="1745" spans="1:25" x14ac:dyDescent="0.3">
      <c r="A1745" s="20"/>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row>
    <row r="1746" spans="1:25" x14ac:dyDescent="0.3">
      <c r="A1746" s="20"/>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row>
    <row r="1747" spans="1:25" x14ac:dyDescent="0.3">
      <c r="A1747" s="20"/>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row>
    <row r="1748" spans="1:25" x14ac:dyDescent="0.3">
      <c r="A1748" s="20"/>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row>
    <row r="1749" spans="1:25" x14ac:dyDescent="0.3">
      <c r="A1749" s="20"/>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row>
    <row r="1750" spans="1:25" x14ac:dyDescent="0.3">
      <c r="A1750" s="20"/>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row>
    <row r="1751" spans="1:25" x14ac:dyDescent="0.3">
      <c r="A1751" s="20"/>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row>
    <row r="1752" spans="1:25" x14ac:dyDescent="0.3">
      <c r="A1752" s="20"/>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row>
    <row r="1753" spans="1:25" x14ac:dyDescent="0.3">
      <c r="A1753" s="20"/>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row>
    <row r="1754" spans="1:25" x14ac:dyDescent="0.3">
      <c r="A1754" s="20"/>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row>
    <row r="1755" spans="1:25" x14ac:dyDescent="0.3">
      <c r="A1755" s="20"/>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row>
    <row r="1756" spans="1:25" x14ac:dyDescent="0.3">
      <c r="A1756" s="20"/>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row>
    <row r="1757" spans="1:25" x14ac:dyDescent="0.3">
      <c r="A1757" s="20"/>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row>
    <row r="1758" spans="1:25" x14ac:dyDescent="0.3">
      <c r="A1758" s="20"/>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row>
    <row r="1759" spans="1:25" x14ac:dyDescent="0.3">
      <c r="A1759" s="20"/>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row>
    <row r="1760" spans="1:25" x14ac:dyDescent="0.3">
      <c r="A1760" s="20"/>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row>
    <row r="1761" spans="1:25" x14ac:dyDescent="0.3">
      <c r="A1761" s="20"/>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row>
    <row r="1762" spans="1:25" x14ac:dyDescent="0.3">
      <c r="A1762" s="20"/>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row>
    <row r="1763" spans="1:25" x14ac:dyDescent="0.3">
      <c r="A1763" s="20"/>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row>
    <row r="1764" spans="1:25" x14ac:dyDescent="0.3">
      <c r="A1764" s="20"/>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row>
    <row r="1765" spans="1:25" x14ac:dyDescent="0.3">
      <c r="A1765" s="20"/>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row>
    <row r="1766" spans="1:25" x14ac:dyDescent="0.3">
      <c r="A1766" s="20"/>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row>
    <row r="1767" spans="1:25" x14ac:dyDescent="0.3">
      <c r="A1767" s="20"/>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row>
    <row r="1768" spans="1:25" x14ac:dyDescent="0.3">
      <c r="A1768" s="20"/>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row>
    <row r="1769" spans="1:25" x14ac:dyDescent="0.3">
      <c r="A1769" s="20"/>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row>
    <row r="1770" spans="1:25" x14ac:dyDescent="0.3">
      <c r="A1770" s="20"/>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row>
    <row r="1771" spans="1:25" x14ac:dyDescent="0.3">
      <c r="A1771" s="20"/>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row>
    <row r="1772" spans="1:25" x14ac:dyDescent="0.3">
      <c r="A1772" s="20"/>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row>
    <row r="1773" spans="1:25" x14ac:dyDescent="0.3">
      <c r="A1773" s="20"/>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row>
    <row r="1774" spans="1:25" x14ac:dyDescent="0.3">
      <c r="A1774" s="20"/>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row>
    <row r="1775" spans="1:25" x14ac:dyDescent="0.3">
      <c r="A1775" s="20"/>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row>
    <row r="1776" spans="1:25" x14ac:dyDescent="0.3">
      <c r="A1776" s="20"/>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row>
    <row r="1777" spans="1:25" x14ac:dyDescent="0.3">
      <c r="A1777" s="20"/>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row>
    <row r="1778" spans="1:25" x14ac:dyDescent="0.3">
      <c r="A1778" s="20"/>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row>
    <row r="1779" spans="1:25" x14ac:dyDescent="0.3">
      <c r="A1779" s="20"/>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row>
    <row r="1780" spans="1:25" x14ac:dyDescent="0.3">
      <c r="A1780" s="20"/>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row>
    <row r="1781" spans="1:25" x14ac:dyDescent="0.3">
      <c r="A1781" s="20"/>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row>
    <row r="1782" spans="1:25" x14ac:dyDescent="0.3">
      <c r="A1782" s="20"/>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row>
    <row r="1783" spans="1:25" x14ac:dyDescent="0.3">
      <c r="A1783" s="20"/>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row>
    <row r="1784" spans="1:25" x14ac:dyDescent="0.3">
      <c r="A1784" s="20"/>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row>
    <row r="1785" spans="1:25" x14ac:dyDescent="0.3">
      <c r="A1785" s="20"/>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row>
    <row r="1786" spans="1:25" x14ac:dyDescent="0.3">
      <c r="A1786" s="20"/>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row>
    <row r="1787" spans="1:25" x14ac:dyDescent="0.3">
      <c r="A1787" s="20"/>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row>
    <row r="1788" spans="1:25" x14ac:dyDescent="0.3">
      <c r="A1788" s="20"/>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row>
    <row r="1789" spans="1:25" x14ac:dyDescent="0.3">
      <c r="A1789" s="20"/>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row>
    <row r="1790" spans="1:25" x14ac:dyDescent="0.3">
      <c r="A1790" s="20"/>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row>
    <row r="1791" spans="1:25" x14ac:dyDescent="0.3">
      <c r="A1791" s="20"/>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row>
    <row r="1792" spans="1:25" x14ac:dyDescent="0.3">
      <c r="A1792" s="20"/>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row>
    <row r="1793" spans="1:25" x14ac:dyDescent="0.3">
      <c r="A1793" s="20"/>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row>
    <row r="1794" spans="1:25" x14ac:dyDescent="0.3">
      <c r="A1794" s="20"/>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row>
    <row r="1795" spans="1:25" x14ac:dyDescent="0.3">
      <c r="A1795" s="20"/>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row>
    <row r="1796" spans="1:25" x14ac:dyDescent="0.3">
      <c r="A1796" s="20"/>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row>
    <row r="1797" spans="1:25" x14ac:dyDescent="0.3">
      <c r="A1797" s="20"/>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row>
    <row r="1798" spans="1:25" x14ac:dyDescent="0.3">
      <c r="A1798" s="20"/>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row>
    <row r="1799" spans="1:25" x14ac:dyDescent="0.3">
      <c r="A1799" s="20"/>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row>
    <row r="1800" spans="1:25" x14ac:dyDescent="0.3">
      <c r="A1800" s="20"/>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row>
    <row r="1801" spans="1:25" x14ac:dyDescent="0.3">
      <c r="A1801" s="20"/>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row>
    <row r="1802" spans="1:25" x14ac:dyDescent="0.3">
      <c r="A1802" s="20"/>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row>
    <row r="1803" spans="1:25" x14ac:dyDescent="0.3">
      <c r="A1803" s="20"/>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row>
    <row r="1804" spans="1:25" x14ac:dyDescent="0.3">
      <c r="A1804" s="20"/>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row>
    <row r="1805" spans="1:25" x14ac:dyDescent="0.3">
      <c r="A1805" s="20"/>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row>
    <row r="1806" spans="1:25" x14ac:dyDescent="0.3">
      <c r="A1806" s="20"/>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row>
    <row r="1807" spans="1:25" x14ac:dyDescent="0.3">
      <c r="A1807" s="20"/>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row>
    <row r="1808" spans="1:25" x14ac:dyDescent="0.3">
      <c r="A1808" s="20"/>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row>
    <row r="1809" spans="1:25" x14ac:dyDescent="0.3">
      <c r="A1809" s="20"/>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row>
    <row r="1810" spans="1:25" x14ac:dyDescent="0.3">
      <c r="A1810" s="20"/>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row>
    <row r="1811" spans="1:25" x14ac:dyDescent="0.3">
      <c r="A1811" s="20"/>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row>
    <row r="1812" spans="1:25" x14ac:dyDescent="0.3">
      <c r="A1812" s="20"/>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row>
    <row r="1813" spans="1:25" x14ac:dyDescent="0.3">
      <c r="A1813" s="20"/>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row>
    <row r="1814" spans="1:25" x14ac:dyDescent="0.3">
      <c r="A1814" s="20"/>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row>
    <row r="1815" spans="1:25" x14ac:dyDescent="0.3">
      <c r="A1815" s="20"/>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row>
    <row r="1816" spans="1:25" x14ac:dyDescent="0.3">
      <c r="A1816" s="20"/>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row>
    <row r="1817" spans="1:25" x14ac:dyDescent="0.3">
      <c r="A1817" s="20"/>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row>
    <row r="1818" spans="1:25" x14ac:dyDescent="0.3">
      <c r="A1818" s="20"/>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row>
    <row r="1819" spans="1:25" x14ac:dyDescent="0.3">
      <c r="A1819" s="20"/>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row>
    <row r="1820" spans="1:25" x14ac:dyDescent="0.3">
      <c r="A1820" s="20"/>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row>
    <row r="1821" spans="1:25" x14ac:dyDescent="0.3">
      <c r="A1821" s="20"/>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row>
    <row r="1822" spans="1:25" x14ac:dyDescent="0.3">
      <c r="A1822" s="20"/>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row>
    <row r="1823" spans="1:25" x14ac:dyDescent="0.3">
      <c r="A1823" s="20"/>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row>
    <row r="1824" spans="1:25" x14ac:dyDescent="0.3">
      <c r="A1824" s="20"/>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row>
    <row r="1825" spans="1:25" x14ac:dyDescent="0.3">
      <c r="A1825" s="20"/>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row>
    <row r="1826" spans="1:25" x14ac:dyDescent="0.3">
      <c r="A1826" s="20"/>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row>
    <row r="1827" spans="1:25" x14ac:dyDescent="0.3">
      <c r="A1827" s="20"/>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row>
    <row r="1828" spans="1:25" x14ac:dyDescent="0.3">
      <c r="A1828" s="20"/>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row>
    <row r="1829" spans="1:25" x14ac:dyDescent="0.3">
      <c r="A1829" s="20"/>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row>
    <row r="1830" spans="1:25" x14ac:dyDescent="0.3">
      <c r="A1830" s="20"/>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row>
    <row r="1831" spans="1:25" x14ac:dyDescent="0.3">
      <c r="A1831" s="20"/>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row>
    <row r="1832" spans="1:25" x14ac:dyDescent="0.3">
      <c r="A1832" s="20"/>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row>
    <row r="1833" spans="1:25" x14ac:dyDescent="0.3">
      <c r="A1833" s="20"/>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row>
    <row r="1834" spans="1:25" x14ac:dyDescent="0.3">
      <c r="A1834" s="20"/>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row>
    <row r="1835" spans="1:25" x14ac:dyDescent="0.3">
      <c r="A1835" s="20"/>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row>
    <row r="1836" spans="1:25" x14ac:dyDescent="0.3">
      <c r="A1836" s="20"/>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row>
    <row r="1837" spans="1:25" x14ac:dyDescent="0.3">
      <c r="A1837" s="20"/>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row>
    <row r="1838" spans="1:25" x14ac:dyDescent="0.3">
      <c r="A1838" s="20"/>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row>
    <row r="1839" spans="1:25" x14ac:dyDescent="0.3">
      <c r="A1839" s="20"/>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row>
    <row r="1840" spans="1:25" x14ac:dyDescent="0.3">
      <c r="A1840" s="20"/>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row>
    <row r="1841" spans="1:25" x14ac:dyDescent="0.3">
      <c r="A1841" s="20"/>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row>
    <row r="1842" spans="1:25" x14ac:dyDescent="0.3">
      <c r="A1842" s="20"/>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row>
    <row r="1843" spans="1:25" x14ac:dyDescent="0.3">
      <c r="A1843" s="20"/>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row>
    <row r="1844" spans="1:25" x14ac:dyDescent="0.3">
      <c r="A1844" s="20"/>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row>
    <row r="1845" spans="1:25" x14ac:dyDescent="0.3">
      <c r="A1845" s="20"/>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row>
    <row r="1846" spans="1:25" x14ac:dyDescent="0.3">
      <c r="A1846" s="20"/>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row>
    <row r="1847" spans="1:25" x14ac:dyDescent="0.3">
      <c r="A1847" s="20"/>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row>
    <row r="1848" spans="1:25" x14ac:dyDescent="0.3">
      <c r="A1848" s="20"/>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row>
    <row r="1849" spans="1:25" x14ac:dyDescent="0.3">
      <c r="A1849" s="20"/>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row>
    <row r="1850" spans="1:25" x14ac:dyDescent="0.3">
      <c r="A1850" s="20"/>
      <c r="B1850" s="20"/>
      <c r="C1850" s="20"/>
      <c r="D1850" s="20"/>
      <c r="E1850" s="20"/>
      <c r="F1850" s="20"/>
      <c r="G1850" s="20"/>
      <c r="H1850" s="20"/>
      <c r="I1850" s="20"/>
      <c r="J1850" s="20"/>
      <c r="K1850" s="20"/>
      <c r="L1850" s="20"/>
      <c r="M1850" s="20"/>
      <c r="N1850" s="20"/>
      <c r="O1850" s="20"/>
      <c r="P1850" s="20"/>
      <c r="Q1850" s="20"/>
      <c r="R1850" s="20"/>
      <c r="S1850" s="20"/>
      <c r="T1850" s="20"/>
      <c r="U1850" s="20"/>
      <c r="V1850" s="20"/>
      <c r="W1850" s="20"/>
      <c r="X1850" s="20"/>
      <c r="Y1850" s="20"/>
    </row>
    <row r="1851" spans="1:25" x14ac:dyDescent="0.3">
      <c r="A1851" s="20"/>
      <c r="B1851" s="20"/>
      <c r="C1851" s="20"/>
      <c r="D1851" s="20"/>
      <c r="E1851" s="20"/>
      <c r="F1851" s="20"/>
      <c r="G1851" s="20"/>
      <c r="H1851" s="20"/>
      <c r="I1851" s="20"/>
      <c r="J1851" s="20"/>
      <c r="K1851" s="20"/>
      <c r="L1851" s="20"/>
      <c r="M1851" s="20"/>
      <c r="N1851" s="20"/>
      <c r="O1851" s="20"/>
      <c r="P1851" s="20"/>
      <c r="Q1851" s="20"/>
      <c r="R1851" s="20"/>
      <c r="S1851" s="20"/>
      <c r="T1851" s="20"/>
      <c r="U1851" s="20"/>
      <c r="V1851" s="20"/>
      <c r="W1851" s="20"/>
      <c r="X1851" s="20"/>
      <c r="Y1851" s="20"/>
    </row>
    <row r="1852" spans="1:25" x14ac:dyDescent="0.3">
      <c r="A1852" s="20"/>
      <c r="B1852" s="20"/>
      <c r="C1852" s="20"/>
      <c r="D1852" s="20"/>
      <c r="E1852" s="20"/>
      <c r="F1852" s="20"/>
      <c r="G1852" s="20"/>
      <c r="H1852" s="20"/>
      <c r="I1852" s="20"/>
      <c r="J1852" s="20"/>
      <c r="K1852" s="20"/>
      <c r="L1852" s="20"/>
      <c r="M1852" s="20"/>
      <c r="N1852" s="20"/>
      <c r="O1852" s="20"/>
      <c r="P1852" s="20"/>
      <c r="Q1852" s="20"/>
      <c r="R1852" s="20"/>
      <c r="S1852" s="20"/>
      <c r="T1852" s="20"/>
      <c r="U1852" s="20"/>
      <c r="V1852" s="20"/>
      <c r="W1852" s="20"/>
      <c r="X1852" s="20"/>
      <c r="Y1852" s="20"/>
    </row>
    <row r="1853" spans="1:25" x14ac:dyDescent="0.3">
      <c r="A1853" s="20"/>
      <c r="B1853" s="20"/>
      <c r="C1853" s="20"/>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row>
    <row r="1854" spans="1:25" x14ac:dyDescent="0.3">
      <c r="A1854" s="20"/>
      <c r="B1854" s="20"/>
      <c r="C1854" s="20"/>
      <c r="D1854" s="20"/>
      <c r="E1854" s="20"/>
      <c r="F1854" s="20"/>
      <c r="G1854" s="20"/>
      <c r="H1854" s="20"/>
      <c r="I1854" s="20"/>
      <c r="J1854" s="20"/>
      <c r="K1854" s="20"/>
      <c r="L1854" s="20"/>
      <c r="M1854" s="20"/>
      <c r="N1854" s="20"/>
      <c r="O1854" s="20"/>
      <c r="P1854" s="20"/>
      <c r="Q1854" s="20"/>
      <c r="R1854" s="20"/>
      <c r="S1854" s="20"/>
      <c r="T1854" s="20"/>
      <c r="U1854" s="20"/>
      <c r="V1854" s="20"/>
      <c r="W1854" s="20"/>
      <c r="X1854" s="20"/>
      <c r="Y1854" s="20"/>
    </row>
    <row r="1855" spans="1:25" x14ac:dyDescent="0.3">
      <c r="A1855" s="20"/>
      <c r="B1855" s="20"/>
      <c r="C1855" s="20"/>
      <c r="D1855" s="20"/>
      <c r="E1855" s="20"/>
      <c r="F1855" s="20"/>
      <c r="G1855" s="20"/>
      <c r="H1855" s="20"/>
      <c r="I1855" s="20"/>
      <c r="J1855" s="20"/>
      <c r="K1855" s="20"/>
      <c r="L1855" s="20"/>
      <c r="M1855" s="20"/>
      <c r="N1855" s="20"/>
      <c r="O1855" s="20"/>
      <c r="P1855" s="20"/>
      <c r="Q1855" s="20"/>
      <c r="R1855" s="20"/>
      <c r="S1855" s="20"/>
      <c r="T1855" s="20"/>
      <c r="U1855" s="20"/>
      <c r="V1855" s="20"/>
      <c r="W1855" s="20"/>
      <c r="X1855" s="20"/>
      <c r="Y1855" s="20"/>
    </row>
    <row r="1856" spans="1:25" x14ac:dyDescent="0.3">
      <c r="A1856" s="20"/>
      <c r="B1856" s="20"/>
      <c r="C1856" s="20"/>
      <c r="D1856" s="20"/>
      <c r="E1856" s="20"/>
      <c r="F1856" s="20"/>
      <c r="G1856" s="20"/>
      <c r="H1856" s="20"/>
      <c r="I1856" s="20"/>
      <c r="J1856" s="20"/>
      <c r="K1856" s="20"/>
      <c r="L1856" s="20"/>
      <c r="M1856" s="20"/>
      <c r="N1856" s="20"/>
      <c r="O1856" s="20"/>
      <c r="P1856" s="20"/>
      <c r="Q1856" s="20"/>
      <c r="R1856" s="20"/>
      <c r="S1856" s="20"/>
      <c r="T1856" s="20"/>
      <c r="U1856" s="20"/>
      <c r="V1856" s="20"/>
      <c r="W1856" s="20"/>
      <c r="X1856" s="20"/>
      <c r="Y1856" s="20"/>
    </row>
    <row r="1857" spans="1:25" x14ac:dyDescent="0.3">
      <c r="A1857" s="20"/>
      <c r="B1857" s="20"/>
      <c r="C1857" s="20"/>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row>
    <row r="1858" spans="1:25" x14ac:dyDescent="0.3">
      <c r="A1858" s="20"/>
      <c r="B1858" s="20"/>
      <c r="C1858" s="20"/>
      <c r="D1858" s="20"/>
      <c r="E1858" s="20"/>
      <c r="F1858" s="20"/>
      <c r="G1858" s="20"/>
      <c r="H1858" s="20"/>
      <c r="I1858" s="20"/>
      <c r="J1858" s="20"/>
      <c r="K1858" s="20"/>
      <c r="L1858" s="20"/>
      <c r="M1858" s="20"/>
      <c r="N1858" s="20"/>
      <c r="O1858" s="20"/>
      <c r="P1858" s="20"/>
      <c r="Q1858" s="20"/>
      <c r="R1858" s="20"/>
      <c r="S1858" s="20"/>
      <c r="T1858" s="20"/>
      <c r="U1858" s="20"/>
      <c r="V1858" s="20"/>
      <c r="W1858" s="20"/>
      <c r="X1858" s="20"/>
      <c r="Y1858" s="20"/>
    </row>
    <row r="1859" spans="1:25" x14ac:dyDescent="0.3">
      <c r="A1859" s="20"/>
      <c r="B1859" s="20"/>
      <c r="C1859" s="20"/>
      <c r="D1859" s="20"/>
      <c r="E1859" s="20"/>
      <c r="F1859" s="20"/>
      <c r="G1859" s="20"/>
      <c r="H1859" s="20"/>
      <c r="I1859" s="20"/>
      <c r="J1859" s="20"/>
      <c r="K1859" s="20"/>
      <c r="L1859" s="20"/>
      <c r="M1859" s="20"/>
      <c r="N1859" s="20"/>
      <c r="O1859" s="20"/>
      <c r="P1859" s="20"/>
      <c r="Q1859" s="20"/>
      <c r="R1859" s="20"/>
      <c r="S1859" s="20"/>
      <c r="T1859" s="20"/>
      <c r="U1859" s="20"/>
      <c r="V1859" s="20"/>
      <c r="W1859" s="20"/>
      <c r="X1859" s="20"/>
      <c r="Y1859" s="20"/>
    </row>
    <row r="1860" spans="1:25" x14ac:dyDescent="0.3">
      <c r="A1860" s="20"/>
      <c r="B1860" s="20"/>
      <c r="C1860" s="20"/>
      <c r="D1860" s="20"/>
      <c r="E1860" s="20"/>
      <c r="F1860" s="20"/>
      <c r="G1860" s="20"/>
      <c r="H1860" s="20"/>
      <c r="I1860" s="20"/>
      <c r="J1860" s="20"/>
      <c r="K1860" s="20"/>
      <c r="L1860" s="20"/>
      <c r="M1860" s="20"/>
      <c r="N1860" s="20"/>
      <c r="O1860" s="20"/>
      <c r="P1860" s="20"/>
      <c r="Q1860" s="20"/>
      <c r="R1860" s="20"/>
      <c r="S1860" s="20"/>
      <c r="T1860" s="20"/>
      <c r="U1860" s="20"/>
      <c r="V1860" s="20"/>
      <c r="W1860" s="20"/>
      <c r="X1860" s="20"/>
      <c r="Y1860" s="20"/>
    </row>
    <row r="1861" spans="1:25" x14ac:dyDescent="0.3">
      <c r="A1861" s="20"/>
      <c r="B1861" s="20"/>
      <c r="C1861" s="20"/>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row>
    <row r="1862" spans="1:25" x14ac:dyDescent="0.3">
      <c r="A1862" s="20"/>
      <c r="B1862" s="20"/>
      <c r="C1862" s="20"/>
      <c r="D1862" s="20"/>
      <c r="E1862" s="20"/>
      <c r="F1862" s="20"/>
      <c r="G1862" s="20"/>
      <c r="H1862" s="20"/>
      <c r="I1862" s="20"/>
      <c r="J1862" s="20"/>
      <c r="K1862" s="20"/>
      <c r="L1862" s="20"/>
      <c r="M1862" s="20"/>
      <c r="N1862" s="20"/>
      <c r="O1862" s="20"/>
      <c r="P1862" s="20"/>
      <c r="Q1862" s="20"/>
      <c r="R1862" s="20"/>
      <c r="S1862" s="20"/>
      <c r="T1862" s="20"/>
      <c r="U1862" s="20"/>
      <c r="V1862" s="20"/>
      <c r="W1862" s="20"/>
      <c r="X1862" s="20"/>
      <c r="Y1862" s="20"/>
    </row>
    <row r="1863" spans="1:25" x14ac:dyDescent="0.3">
      <c r="A1863" s="20"/>
      <c r="B1863" s="20"/>
      <c r="C1863" s="20"/>
      <c r="D1863" s="20"/>
      <c r="E1863" s="20"/>
      <c r="F1863" s="20"/>
      <c r="G1863" s="20"/>
      <c r="H1863" s="20"/>
      <c r="I1863" s="20"/>
      <c r="J1863" s="20"/>
      <c r="K1863" s="20"/>
      <c r="L1863" s="20"/>
      <c r="M1863" s="20"/>
      <c r="N1863" s="20"/>
      <c r="O1863" s="20"/>
      <c r="P1863" s="20"/>
      <c r="Q1863" s="20"/>
      <c r="R1863" s="20"/>
      <c r="S1863" s="20"/>
      <c r="T1863" s="20"/>
      <c r="U1863" s="20"/>
      <c r="V1863" s="20"/>
      <c r="W1863" s="20"/>
      <c r="X1863" s="20"/>
      <c r="Y1863" s="20"/>
    </row>
    <row r="1864" spans="1:25" x14ac:dyDescent="0.3">
      <c r="A1864" s="20"/>
      <c r="B1864" s="20"/>
      <c r="C1864" s="20"/>
      <c r="D1864" s="20"/>
      <c r="E1864" s="20"/>
      <c r="F1864" s="20"/>
      <c r="G1864" s="20"/>
      <c r="H1864" s="20"/>
      <c r="I1864" s="20"/>
      <c r="J1864" s="20"/>
      <c r="K1864" s="20"/>
      <c r="L1864" s="20"/>
      <c r="M1864" s="20"/>
      <c r="N1864" s="20"/>
      <c r="O1864" s="20"/>
      <c r="P1864" s="20"/>
      <c r="Q1864" s="20"/>
      <c r="R1864" s="20"/>
      <c r="S1864" s="20"/>
      <c r="T1864" s="20"/>
      <c r="U1864" s="20"/>
      <c r="V1864" s="20"/>
      <c r="W1864" s="20"/>
      <c r="X1864" s="20"/>
      <c r="Y1864" s="20"/>
    </row>
    <row r="1865" spans="1:25" x14ac:dyDescent="0.3">
      <c r="A1865" s="20"/>
      <c r="B1865" s="20"/>
      <c r="C1865" s="20"/>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row>
    <row r="1866" spans="1:25" x14ac:dyDescent="0.3">
      <c r="A1866" s="20"/>
      <c r="B1866" s="20"/>
      <c r="C1866" s="20"/>
      <c r="D1866" s="20"/>
      <c r="E1866" s="20"/>
      <c r="F1866" s="20"/>
      <c r="G1866" s="20"/>
      <c r="H1866" s="20"/>
      <c r="I1866" s="20"/>
      <c r="J1866" s="20"/>
      <c r="K1866" s="20"/>
      <c r="L1866" s="20"/>
      <c r="M1866" s="20"/>
      <c r="N1866" s="20"/>
      <c r="O1866" s="20"/>
      <c r="P1866" s="20"/>
      <c r="Q1866" s="20"/>
      <c r="R1866" s="20"/>
      <c r="S1866" s="20"/>
      <c r="T1866" s="20"/>
      <c r="U1866" s="20"/>
      <c r="V1866" s="20"/>
      <c r="W1866" s="20"/>
      <c r="X1866" s="20"/>
      <c r="Y1866" s="20"/>
    </row>
    <row r="1867" spans="1:25" x14ac:dyDescent="0.3">
      <c r="A1867" s="20"/>
      <c r="B1867" s="20"/>
      <c r="C1867" s="20"/>
      <c r="D1867" s="20"/>
      <c r="E1867" s="20"/>
      <c r="F1867" s="20"/>
      <c r="G1867" s="20"/>
      <c r="H1867" s="20"/>
      <c r="I1867" s="20"/>
      <c r="J1867" s="20"/>
      <c r="K1867" s="20"/>
      <c r="L1867" s="20"/>
      <c r="M1867" s="20"/>
      <c r="N1867" s="20"/>
      <c r="O1867" s="20"/>
      <c r="P1867" s="20"/>
      <c r="Q1867" s="20"/>
      <c r="R1867" s="20"/>
      <c r="S1867" s="20"/>
      <c r="T1867" s="20"/>
      <c r="U1867" s="20"/>
      <c r="V1867" s="20"/>
      <c r="W1867" s="20"/>
      <c r="X1867" s="20"/>
      <c r="Y1867" s="20"/>
    </row>
    <row r="1868" spans="1:25" x14ac:dyDescent="0.3">
      <c r="A1868" s="20"/>
      <c r="B1868" s="20"/>
      <c r="C1868" s="20"/>
      <c r="D1868" s="20"/>
      <c r="E1868" s="20"/>
      <c r="F1868" s="20"/>
      <c r="G1868" s="20"/>
      <c r="H1868" s="20"/>
      <c r="I1868" s="20"/>
      <c r="J1868" s="20"/>
      <c r="K1868" s="20"/>
      <c r="L1868" s="20"/>
      <c r="M1868" s="20"/>
      <c r="N1868" s="20"/>
      <c r="O1868" s="20"/>
      <c r="P1868" s="20"/>
      <c r="Q1868" s="20"/>
      <c r="R1868" s="20"/>
      <c r="S1868" s="20"/>
      <c r="T1868" s="20"/>
      <c r="U1868" s="20"/>
      <c r="V1868" s="20"/>
      <c r="W1868" s="20"/>
      <c r="X1868" s="20"/>
      <c r="Y1868" s="20"/>
    </row>
    <row r="1869" spans="1:25" x14ac:dyDescent="0.3">
      <c r="A1869" s="20"/>
      <c r="B1869" s="20"/>
      <c r="C1869" s="20"/>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row>
    <row r="1870" spans="1:25" x14ac:dyDescent="0.3">
      <c r="A1870" s="20"/>
      <c r="B1870" s="20"/>
      <c r="C1870" s="20"/>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row>
    <row r="1871" spans="1:25" x14ac:dyDescent="0.3">
      <c r="A1871" s="20"/>
      <c r="B1871" s="20"/>
      <c r="C1871" s="20"/>
      <c r="D1871" s="20"/>
      <c r="E1871" s="20"/>
      <c r="F1871" s="20"/>
      <c r="G1871" s="20"/>
      <c r="H1871" s="20"/>
      <c r="I1871" s="20"/>
      <c r="J1871" s="20"/>
      <c r="K1871" s="20"/>
      <c r="L1871" s="20"/>
      <c r="M1871" s="20"/>
      <c r="N1871" s="20"/>
      <c r="O1871" s="20"/>
      <c r="P1871" s="20"/>
      <c r="Q1871" s="20"/>
      <c r="R1871" s="20"/>
      <c r="S1871" s="20"/>
      <c r="T1871" s="20"/>
      <c r="U1871" s="20"/>
      <c r="V1871" s="20"/>
      <c r="W1871" s="20"/>
      <c r="X1871" s="20"/>
      <c r="Y1871" s="20"/>
    </row>
    <row r="1872" spans="1:25" x14ac:dyDescent="0.3">
      <c r="A1872" s="20"/>
      <c r="B1872" s="20"/>
      <c r="C1872" s="20"/>
      <c r="D1872" s="20"/>
      <c r="E1872" s="20"/>
      <c r="F1872" s="20"/>
      <c r="G1872" s="20"/>
      <c r="H1872" s="20"/>
      <c r="I1872" s="20"/>
      <c r="J1872" s="20"/>
      <c r="K1872" s="20"/>
      <c r="L1872" s="20"/>
      <c r="M1872" s="20"/>
      <c r="N1872" s="20"/>
      <c r="O1872" s="20"/>
      <c r="P1872" s="20"/>
      <c r="Q1872" s="20"/>
      <c r="R1872" s="20"/>
      <c r="S1872" s="20"/>
      <c r="T1872" s="20"/>
      <c r="U1872" s="20"/>
      <c r="V1872" s="20"/>
      <c r="W1872" s="20"/>
      <c r="X1872" s="20"/>
      <c r="Y1872" s="20"/>
    </row>
    <row r="1873" spans="1:25" x14ac:dyDescent="0.3">
      <c r="A1873" s="20"/>
      <c r="B1873" s="20"/>
      <c r="C1873" s="20"/>
      <c r="D1873" s="20"/>
      <c r="E1873" s="20"/>
      <c r="F1873" s="20"/>
      <c r="G1873" s="20"/>
      <c r="H1873" s="20"/>
      <c r="I1873" s="20"/>
      <c r="J1873" s="20"/>
      <c r="K1873" s="20"/>
      <c r="L1873" s="20"/>
      <c r="M1873" s="20"/>
      <c r="N1873" s="20"/>
      <c r="O1873" s="20"/>
      <c r="P1873" s="20"/>
      <c r="Q1873" s="20"/>
      <c r="R1873" s="20"/>
      <c r="S1873" s="20"/>
      <c r="T1873" s="20"/>
      <c r="U1873" s="20"/>
      <c r="V1873" s="20"/>
      <c r="W1873" s="20"/>
      <c r="X1873" s="20"/>
      <c r="Y1873" s="20"/>
    </row>
    <row r="1874" spans="1:25" x14ac:dyDescent="0.3">
      <c r="A1874" s="20"/>
      <c r="B1874" s="20"/>
      <c r="C1874" s="20"/>
      <c r="D1874" s="20"/>
      <c r="E1874" s="20"/>
      <c r="F1874" s="20"/>
      <c r="G1874" s="20"/>
      <c r="H1874" s="20"/>
      <c r="I1874" s="20"/>
      <c r="J1874" s="20"/>
      <c r="K1874" s="20"/>
      <c r="L1874" s="20"/>
      <c r="M1874" s="20"/>
      <c r="N1874" s="20"/>
      <c r="O1874" s="20"/>
      <c r="P1874" s="20"/>
      <c r="Q1874" s="20"/>
      <c r="R1874" s="20"/>
      <c r="S1874" s="20"/>
      <c r="T1874" s="20"/>
      <c r="U1874" s="20"/>
      <c r="V1874" s="20"/>
      <c r="W1874" s="20"/>
      <c r="X1874" s="20"/>
      <c r="Y1874" s="20"/>
    </row>
    <row r="1875" spans="1:25" x14ac:dyDescent="0.3">
      <c r="A1875" s="20"/>
      <c r="B1875" s="20"/>
      <c r="C1875" s="20"/>
      <c r="D1875" s="20"/>
      <c r="E1875" s="20"/>
      <c r="F1875" s="20"/>
      <c r="G1875" s="20"/>
      <c r="H1875" s="20"/>
      <c r="I1875" s="20"/>
      <c r="J1875" s="20"/>
      <c r="K1875" s="20"/>
      <c r="L1875" s="20"/>
      <c r="M1875" s="20"/>
      <c r="N1875" s="20"/>
      <c r="O1875" s="20"/>
      <c r="P1875" s="20"/>
      <c r="Q1875" s="20"/>
      <c r="R1875" s="20"/>
      <c r="S1875" s="20"/>
      <c r="T1875" s="20"/>
      <c r="U1875" s="20"/>
      <c r="V1875" s="20"/>
      <c r="W1875" s="20"/>
      <c r="X1875" s="20"/>
      <c r="Y1875" s="20"/>
    </row>
    <row r="1876" spans="1:25" x14ac:dyDescent="0.3">
      <c r="A1876" s="20"/>
      <c r="B1876" s="20"/>
      <c r="C1876" s="20"/>
      <c r="D1876" s="20"/>
      <c r="E1876" s="20"/>
      <c r="F1876" s="20"/>
      <c r="G1876" s="20"/>
      <c r="H1876" s="20"/>
      <c r="I1876" s="20"/>
      <c r="J1876" s="20"/>
      <c r="K1876" s="20"/>
      <c r="L1876" s="20"/>
      <c r="M1876" s="20"/>
      <c r="N1876" s="20"/>
      <c r="O1876" s="20"/>
      <c r="P1876" s="20"/>
      <c r="Q1876" s="20"/>
      <c r="R1876" s="20"/>
      <c r="S1876" s="20"/>
      <c r="T1876" s="20"/>
      <c r="U1876" s="20"/>
      <c r="V1876" s="20"/>
      <c r="W1876" s="20"/>
      <c r="X1876" s="20"/>
      <c r="Y1876" s="20"/>
    </row>
    <row r="1877" spans="1:25" x14ac:dyDescent="0.3">
      <c r="A1877" s="20"/>
      <c r="B1877" s="20"/>
      <c r="C1877" s="20"/>
      <c r="D1877" s="20"/>
      <c r="E1877" s="20"/>
      <c r="F1877" s="20"/>
      <c r="G1877" s="20"/>
      <c r="H1877" s="20"/>
      <c r="I1877" s="20"/>
      <c r="J1877" s="20"/>
      <c r="K1877" s="20"/>
      <c r="L1877" s="20"/>
      <c r="M1877" s="20"/>
      <c r="N1877" s="20"/>
      <c r="O1877" s="20"/>
      <c r="P1877" s="20"/>
      <c r="Q1877" s="20"/>
      <c r="R1877" s="20"/>
      <c r="S1877" s="20"/>
      <c r="T1877" s="20"/>
      <c r="U1877" s="20"/>
      <c r="V1877" s="20"/>
      <c r="W1877" s="20"/>
      <c r="X1877" s="20"/>
      <c r="Y1877" s="20"/>
    </row>
    <row r="1878" spans="1:25" x14ac:dyDescent="0.3">
      <c r="A1878" s="20"/>
      <c r="B1878" s="20"/>
      <c r="C1878" s="20"/>
      <c r="D1878" s="20"/>
      <c r="E1878" s="20"/>
      <c r="F1878" s="20"/>
      <c r="G1878" s="20"/>
      <c r="H1878" s="20"/>
      <c r="I1878" s="20"/>
      <c r="J1878" s="20"/>
      <c r="K1878" s="20"/>
      <c r="L1878" s="20"/>
      <c r="M1878" s="20"/>
      <c r="N1878" s="20"/>
      <c r="O1878" s="20"/>
      <c r="P1878" s="20"/>
      <c r="Q1878" s="20"/>
      <c r="R1878" s="20"/>
      <c r="S1878" s="20"/>
      <c r="T1878" s="20"/>
      <c r="U1878" s="20"/>
      <c r="V1878" s="20"/>
      <c r="W1878" s="20"/>
      <c r="X1878" s="20"/>
      <c r="Y1878" s="20"/>
    </row>
    <row r="1879" spans="1:25" x14ac:dyDescent="0.3">
      <c r="A1879" s="20"/>
      <c r="B1879" s="20"/>
      <c r="C1879" s="20"/>
      <c r="D1879" s="20"/>
      <c r="E1879" s="20"/>
      <c r="F1879" s="20"/>
      <c r="G1879" s="20"/>
      <c r="H1879" s="20"/>
      <c r="I1879" s="20"/>
      <c r="J1879" s="20"/>
      <c r="K1879" s="20"/>
      <c r="L1879" s="20"/>
      <c r="M1879" s="20"/>
      <c r="N1879" s="20"/>
      <c r="O1879" s="20"/>
      <c r="P1879" s="20"/>
      <c r="Q1879" s="20"/>
      <c r="R1879" s="20"/>
      <c r="S1879" s="20"/>
      <c r="T1879" s="20"/>
      <c r="U1879" s="20"/>
      <c r="V1879" s="20"/>
      <c r="W1879" s="20"/>
      <c r="X1879" s="20"/>
      <c r="Y1879" s="20"/>
    </row>
    <row r="1880" spans="1:25" x14ac:dyDescent="0.3">
      <c r="A1880" s="20"/>
      <c r="B1880" s="20"/>
      <c r="C1880" s="20"/>
      <c r="D1880" s="20"/>
      <c r="E1880" s="20"/>
      <c r="F1880" s="20"/>
      <c r="G1880" s="20"/>
      <c r="H1880" s="20"/>
      <c r="I1880" s="20"/>
      <c r="J1880" s="20"/>
      <c r="K1880" s="20"/>
      <c r="L1880" s="20"/>
      <c r="M1880" s="20"/>
      <c r="N1880" s="20"/>
      <c r="O1880" s="20"/>
      <c r="P1880" s="20"/>
      <c r="Q1880" s="20"/>
      <c r="R1880" s="20"/>
      <c r="S1880" s="20"/>
      <c r="T1880" s="20"/>
      <c r="U1880" s="20"/>
      <c r="V1880" s="20"/>
      <c r="W1880" s="20"/>
      <c r="X1880" s="20"/>
      <c r="Y1880" s="20"/>
    </row>
    <row r="1881" spans="1:25" x14ac:dyDescent="0.3">
      <c r="A1881" s="20"/>
      <c r="B1881" s="20"/>
      <c r="C1881" s="20"/>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row>
    <row r="1882" spans="1:25" x14ac:dyDescent="0.3">
      <c r="A1882" s="20"/>
      <c r="B1882" s="20"/>
      <c r="C1882" s="20"/>
      <c r="D1882" s="20"/>
      <c r="E1882" s="20"/>
      <c r="F1882" s="20"/>
      <c r="G1882" s="20"/>
      <c r="H1882" s="20"/>
      <c r="I1882" s="20"/>
      <c r="J1882" s="20"/>
      <c r="K1882" s="20"/>
      <c r="L1882" s="20"/>
      <c r="M1882" s="20"/>
      <c r="N1882" s="20"/>
      <c r="O1882" s="20"/>
      <c r="P1882" s="20"/>
      <c r="Q1882" s="20"/>
      <c r="R1882" s="20"/>
      <c r="S1882" s="20"/>
      <c r="T1882" s="20"/>
      <c r="U1882" s="20"/>
      <c r="V1882" s="20"/>
      <c r="W1882" s="20"/>
      <c r="X1882" s="20"/>
      <c r="Y1882" s="20"/>
    </row>
    <row r="1883" spans="1:25" x14ac:dyDescent="0.3">
      <c r="A1883" s="20"/>
      <c r="B1883" s="20"/>
      <c r="C1883" s="20"/>
      <c r="D1883" s="20"/>
      <c r="E1883" s="20"/>
      <c r="F1883" s="20"/>
      <c r="G1883" s="20"/>
      <c r="H1883" s="20"/>
      <c r="I1883" s="20"/>
      <c r="J1883" s="20"/>
      <c r="K1883" s="20"/>
      <c r="L1883" s="20"/>
      <c r="M1883" s="20"/>
      <c r="N1883" s="20"/>
      <c r="O1883" s="20"/>
      <c r="P1883" s="20"/>
      <c r="Q1883" s="20"/>
      <c r="R1883" s="20"/>
      <c r="S1883" s="20"/>
      <c r="T1883" s="20"/>
      <c r="U1883" s="20"/>
      <c r="V1883" s="20"/>
      <c r="W1883" s="20"/>
      <c r="X1883" s="20"/>
      <c r="Y1883" s="20"/>
    </row>
    <row r="1884" spans="1:25" x14ac:dyDescent="0.3">
      <c r="A1884" s="20"/>
      <c r="B1884" s="20"/>
      <c r="C1884" s="20"/>
      <c r="D1884" s="20"/>
      <c r="E1884" s="20"/>
      <c r="F1884" s="20"/>
      <c r="G1884" s="20"/>
      <c r="H1884" s="20"/>
      <c r="I1884" s="20"/>
      <c r="J1884" s="20"/>
      <c r="K1884" s="20"/>
      <c r="L1884" s="20"/>
      <c r="M1884" s="20"/>
      <c r="N1884" s="20"/>
      <c r="O1884" s="20"/>
      <c r="P1884" s="20"/>
      <c r="Q1884" s="20"/>
      <c r="R1884" s="20"/>
      <c r="S1884" s="20"/>
      <c r="T1884" s="20"/>
      <c r="U1884" s="20"/>
      <c r="V1884" s="20"/>
      <c r="W1884" s="20"/>
      <c r="X1884" s="20"/>
      <c r="Y1884" s="20"/>
    </row>
    <row r="1885" spans="1:25" x14ac:dyDescent="0.3">
      <c r="A1885" s="20"/>
      <c r="B1885" s="20"/>
      <c r="C1885" s="20"/>
      <c r="D1885" s="20"/>
      <c r="E1885" s="20"/>
      <c r="F1885" s="20"/>
      <c r="G1885" s="20"/>
      <c r="H1885" s="20"/>
      <c r="I1885" s="20"/>
      <c r="J1885" s="20"/>
      <c r="K1885" s="20"/>
      <c r="L1885" s="20"/>
      <c r="M1885" s="20"/>
      <c r="N1885" s="20"/>
      <c r="O1885" s="20"/>
      <c r="P1885" s="20"/>
      <c r="Q1885" s="20"/>
      <c r="R1885" s="20"/>
      <c r="S1885" s="20"/>
      <c r="T1885" s="20"/>
      <c r="U1885" s="20"/>
      <c r="V1885" s="20"/>
      <c r="W1885" s="20"/>
      <c r="X1885" s="20"/>
      <c r="Y1885" s="20"/>
    </row>
    <row r="1886" spans="1:25" x14ac:dyDescent="0.3">
      <c r="A1886" s="20"/>
      <c r="B1886" s="20"/>
      <c r="C1886" s="20"/>
      <c r="D1886" s="20"/>
      <c r="E1886" s="20"/>
      <c r="F1886" s="20"/>
      <c r="G1886" s="20"/>
      <c r="H1886" s="20"/>
      <c r="I1886" s="20"/>
      <c r="J1886" s="20"/>
      <c r="K1886" s="20"/>
      <c r="L1886" s="20"/>
      <c r="M1886" s="20"/>
      <c r="N1886" s="20"/>
      <c r="O1886" s="20"/>
      <c r="P1886" s="20"/>
      <c r="Q1886" s="20"/>
      <c r="R1886" s="20"/>
      <c r="S1886" s="20"/>
      <c r="T1886" s="20"/>
      <c r="U1886" s="20"/>
      <c r="V1886" s="20"/>
      <c r="W1886" s="20"/>
      <c r="X1886" s="20"/>
      <c r="Y1886" s="20"/>
    </row>
    <row r="1887" spans="1:25" x14ac:dyDescent="0.3">
      <c r="A1887" s="20"/>
      <c r="B1887" s="20"/>
      <c r="C1887" s="20"/>
      <c r="D1887" s="20"/>
      <c r="E1887" s="20"/>
      <c r="F1887" s="20"/>
      <c r="G1887" s="20"/>
      <c r="H1887" s="20"/>
      <c r="I1887" s="20"/>
      <c r="J1887" s="20"/>
      <c r="K1887" s="20"/>
      <c r="L1887" s="20"/>
      <c r="M1887" s="20"/>
      <c r="N1887" s="20"/>
      <c r="O1887" s="20"/>
      <c r="P1887" s="20"/>
      <c r="Q1887" s="20"/>
      <c r="R1887" s="20"/>
      <c r="S1887" s="20"/>
      <c r="T1887" s="20"/>
      <c r="U1887" s="20"/>
      <c r="V1887" s="20"/>
      <c r="W1887" s="20"/>
      <c r="X1887" s="20"/>
      <c r="Y1887" s="20"/>
    </row>
    <row r="1888" spans="1:25" x14ac:dyDescent="0.3">
      <c r="A1888" s="20"/>
      <c r="B1888" s="20"/>
      <c r="C1888" s="20"/>
      <c r="D1888" s="20"/>
      <c r="E1888" s="20"/>
      <c r="F1888" s="20"/>
      <c r="G1888" s="20"/>
      <c r="H1888" s="20"/>
      <c r="I1888" s="20"/>
      <c r="J1888" s="20"/>
      <c r="K1888" s="20"/>
      <c r="L1888" s="20"/>
      <c r="M1888" s="20"/>
      <c r="N1888" s="20"/>
      <c r="O1888" s="20"/>
      <c r="P1888" s="20"/>
      <c r="Q1888" s="20"/>
      <c r="R1888" s="20"/>
      <c r="S1888" s="20"/>
      <c r="T1888" s="20"/>
      <c r="U1888" s="20"/>
      <c r="V1888" s="20"/>
      <c r="W1888" s="20"/>
      <c r="X1888" s="20"/>
      <c r="Y1888" s="20"/>
    </row>
    <row r="1889" spans="1:25" x14ac:dyDescent="0.3">
      <c r="A1889" s="20"/>
      <c r="B1889" s="20"/>
      <c r="C1889" s="20"/>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row>
    <row r="1890" spans="1:25" x14ac:dyDescent="0.3">
      <c r="A1890" s="20"/>
      <c r="B1890" s="20"/>
      <c r="C1890" s="20"/>
      <c r="D1890" s="20"/>
      <c r="E1890" s="20"/>
      <c r="F1890" s="20"/>
      <c r="G1890" s="20"/>
      <c r="H1890" s="20"/>
      <c r="I1890" s="20"/>
      <c r="J1890" s="20"/>
      <c r="K1890" s="20"/>
      <c r="L1890" s="20"/>
      <c r="M1890" s="20"/>
      <c r="N1890" s="20"/>
      <c r="O1890" s="20"/>
      <c r="P1890" s="20"/>
      <c r="Q1890" s="20"/>
      <c r="R1890" s="20"/>
      <c r="S1890" s="20"/>
      <c r="T1890" s="20"/>
      <c r="U1890" s="20"/>
      <c r="V1890" s="20"/>
      <c r="W1890" s="20"/>
      <c r="X1890" s="20"/>
      <c r="Y1890" s="20"/>
    </row>
    <row r="1891" spans="1:25" x14ac:dyDescent="0.3">
      <c r="A1891" s="20"/>
      <c r="B1891" s="20"/>
      <c r="C1891" s="20"/>
      <c r="D1891" s="20"/>
      <c r="E1891" s="20"/>
      <c r="F1891" s="20"/>
      <c r="G1891" s="20"/>
      <c r="H1891" s="20"/>
      <c r="I1891" s="20"/>
      <c r="J1891" s="20"/>
      <c r="K1891" s="20"/>
      <c r="L1891" s="20"/>
      <c r="M1891" s="20"/>
      <c r="N1891" s="20"/>
      <c r="O1891" s="20"/>
      <c r="P1891" s="20"/>
      <c r="Q1891" s="20"/>
      <c r="R1891" s="20"/>
      <c r="S1891" s="20"/>
      <c r="T1891" s="20"/>
      <c r="U1891" s="20"/>
      <c r="V1891" s="20"/>
      <c r="W1891" s="20"/>
      <c r="X1891" s="20"/>
      <c r="Y1891" s="20"/>
    </row>
    <row r="1892" spans="1:25" x14ac:dyDescent="0.3">
      <c r="A1892" s="20"/>
      <c r="B1892" s="20"/>
      <c r="C1892" s="20"/>
      <c r="D1892" s="20"/>
      <c r="E1892" s="20"/>
      <c r="F1892" s="20"/>
      <c r="G1892" s="20"/>
      <c r="H1892" s="20"/>
      <c r="I1892" s="20"/>
      <c r="J1892" s="20"/>
      <c r="K1892" s="20"/>
      <c r="L1892" s="20"/>
      <c r="M1892" s="20"/>
      <c r="N1892" s="20"/>
      <c r="O1892" s="20"/>
      <c r="P1892" s="20"/>
      <c r="Q1892" s="20"/>
      <c r="R1892" s="20"/>
      <c r="S1892" s="20"/>
      <c r="T1892" s="20"/>
      <c r="U1892" s="20"/>
      <c r="V1892" s="20"/>
      <c r="W1892" s="20"/>
      <c r="X1892" s="20"/>
      <c r="Y1892" s="20"/>
    </row>
    <row r="1893" spans="1:25" x14ac:dyDescent="0.3">
      <c r="A1893" s="20"/>
      <c r="B1893" s="20"/>
      <c r="C1893" s="20"/>
      <c r="D1893" s="20"/>
      <c r="E1893" s="20"/>
      <c r="F1893" s="20"/>
      <c r="G1893" s="20"/>
      <c r="H1893" s="20"/>
      <c r="I1893" s="20"/>
      <c r="J1893" s="20"/>
      <c r="K1893" s="20"/>
      <c r="L1893" s="20"/>
      <c r="M1893" s="20"/>
      <c r="N1893" s="20"/>
      <c r="O1893" s="20"/>
      <c r="P1893" s="20"/>
      <c r="Q1893" s="20"/>
      <c r="R1893" s="20"/>
      <c r="S1893" s="20"/>
      <c r="T1893" s="20"/>
      <c r="U1893" s="20"/>
      <c r="V1893" s="20"/>
      <c r="W1893" s="20"/>
      <c r="X1893" s="20"/>
      <c r="Y1893" s="20"/>
    </row>
    <row r="1894" spans="1:25" x14ac:dyDescent="0.3">
      <c r="A1894" s="20"/>
      <c r="B1894" s="20"/>
      <c r="C1894" s="20"/>
      <c r="D1894" s="20"/>
      <c r="E1894" s="20"/>
      <c r="F1894" s="20"/>
      <c r="G1894" s="20"/>
      <c r="H1894" s="20"/>
      <c r="I1894" s="20"/>
      <c r="J1894" s="20"/>
      <c r="K1894" s="20"/>
      <c r="L1894" s="20"/>
      <c r="M1894" s="20"/>
      <c r="N1894" s="20"/>
      <c r="O1894" s="20"/>
      <c r="P1894" s="20"/>
      <c r="Q1894" s="20"/>
      <c r="R1894" s="20"/>
      <c r="S1894" s="20"/>
      <c r="T1894" s="20"/>
      <c r="U1894" s="20"/>
      <c r="V1894" s="20"/>
      <c r="W1894" s="20"/>
      <c r="X1894" s="20"/>
      <c r="Y1894" s="20"/>
    </row>
    <row r="1895" spans="1:25" x14ac:dyDescent="0.3">
      <c r="A1895" s="20"/>
      <c r="B1895" s="20"/>
      <c r="C1895" s="20"/>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row>
    <row r="1896" spans="1:25" x14ac:dyDescent="0.3">
      <c r="A1896" s="20"/>
      <c r="B1896" s="20"/>
      <c r="C1896" s="20"/>
      <c r="D1896" s="20"/>
      <c r="E1896" s="20"/>
      <c r="F1896" s="20"/>
      <c r="G1896" s="20"/>
      <c r="H1896" s="20"/>
      <c r="I1896" s="20"/>
      <c r="J1896" s="20"/>
      <c r="K1896" s="20"/>
      <c r="L1896" s="20"/>
      <c r="M1896" s="20"/>
      <c r="N1896" s="20"/>
      <c r="O1896" s="20"/>
      <c r="P1896" s="20"/>
      <c r="Q1896" s="20"/>
      <c r="R1896" s="20"/>
      <c r="S1896" s="20"/>
      <c r="T1896" s="20"/>
      <c r="U1896" s="20"/>
      <c r="V1896" s="20"/>
      <c r="W1896" s="20"/>
      <c r="X1896" s="20"/>
      <c r="Y1896" s="20"/>
    </row>
    <row r="1897" spans="1:25" x14ac:dyDescent="0.3">
      <c r="A1897" s="20"/>
      <c r="B1897" s="20"/>
      <c r="C1897" s="20"/>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row>
    <row r="1898" spans="1:25" x14ac:dyDescent="0.3">
      <c r="A1898" s="20"/>
      <c r="B1898" s="20"/>
      <c r="C1898" s="20"/>
      <c r="D1898" s="20"/>
      <c r="E1898" s="20"/>
      <c r="F1898" s="20"/>
      <c r="G1898" s="20"/>
      <c r="H1898" s="20"/>
      <c r="I1898" s="20"/>
      <c r="J1898" s="20"/>
      <c r="K1898" s="20"/>
      <c r="L1898" s="20"/>
      <c r="M1898" s="20"/>
      <c r="N1898" s="20"/>
      <c r="O1898" s="20"/>
      <c r="P1898" s="20"/>
      <c r="Q1898" s="20"/>
      <c r="R1898" s="20"/>
      <c r="S1898" s="20"/>
      <c r="T1898" s="20"/>
      <c r="U1898" s="20"/>
      <c r="V1898" s="20"/>
      <c r="W1898" s="20"/>
      <c r="X1898" s="20"/>
      <c r="Y1898" s="20"/>
    </row>
    <row r="1899" spans="1:25" x14ac:dyDescent="0.3">
      <c r="A1899" s="20"/>
      <c r="B1899" s="20"/>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row>
    <row r="1900" spans="1:25" x14ac:dyDescent="0.3">
      <c r="A1900" s="20"/>
      <c r="B1900" s="20"/>
      <c r="C1900" s="20"/>
      <c r="D1900" s="20"/>
      <c r="E1900" s="20"/>
      <c r="F1900" s="20"/>
      <c r="G1900" s="20"/>
      <c r="H1900" s="20"/>
      <c r="I1900" s="20"/>
      <c r="J1900" s="20"/>
      <c r="K1900" s="20"/>
      <c r="L1900" s="20"/>
      <c r="M1900" s="20"/>
      <c r="N1900" s="20"/>
      <c r="O1900" s="20"/>
      <c r="P1900" s="20"/>
      <c r="Q1900" s="20"/>
      <c r="R1900" s="20"/>
      <c r="S1900" s="20"/>
      <c r="T1900" s="20"/>
      <c r="U1900" s="20"/>
      <c r="V1900" s="20"/>
      <c r="W1900" s="20"/>
      <c r="X1900" s="20"/>
      <c r="Y1900" s="20"/>
    </row>
    <row r="1901" spans="1:25" x14ac:dyDescent="0.3">
      <c r="A1901" s="20"/>
      <c r="B1901" s="20"/>
      <c r="C1901" s="20"/>
      <c r="D1901" s="20"/>
      <c r="E1901" s="20"/>
      <c r="F1901" s="20"/>
      <c r="G1901" s="20"/>
      <c r="H1901" s="20"/>
      <c r="I1901" s="20"/>
      <c r="J1901" s="20"/>
      <c r="K1901" s="20"/>
      <c r="L1901" s="20"/>
      <c r="M1901" s="20"/>
      <c r="N1901" s="20"/>
      <c r="O1901" s="20"/>
      <c r="P1901" s="20"/>
      <c r="Q1901" s="20"/>
      <c r="R1901" s="20"/>
      <c r="S1901" s="20"/>
      <c r="T1901" s="20"/>
      <c r="U1901" s="20"/>
      <c r="V1901" s="20"/>
      <c r="W1901" s="20"/>
      <c r="X1901" s="20"/>
      <c r="Y1901" s="20"/>
    </row>
    <row r="1902" spans="1:25" x14ac:dyDescent="0.3">
      <c r="A1902" s="20"/>
      <c r="B1902" s="20"/>
      <c r="C1902" s="20"/>
      <c r="D1902" s="20"/>
      <c r="E1902" s="20"/>
      <c r="F1902" s="20"/>
      <c r="G1902" s="20"/>
      <c r="H1902" s="20"/>
      <c r="I1902" s="20"/>
      <c r="J1902" s="20"/>
      <c r="K1902" s="20"/>
      <c r="L1902" s="20"/>
      <c r="M1902" s="20"/>
      <c r="N1902" s="20"/>
      <c r="O1902" s="20"/>
      <c r="P1902" s="20"/>
      <c r="Q1902" s="20"/>
      <c r="R1902" s="20"/>
      <c r="S1902" s="20"/>
      <c r="T1902" s="20"/>
      <c r="U1902" s="20"/>
      <c r="V1902" s="20"/>
      <c r="W1902" s="20"/>
      <c r="X1902" s="20"/>
      <c r="Y1902" s="20"/>
    </row>
    <row r="1903" spans="1:25" x14ac:dyDescent="0.3">
      <c r="A1903" s="20"/>
      <c r="B1903" s="20"/>
      <c r="C1903" s="20"/>
      <c r="D1903" s="20"/>
      <c r="E1903" s="20"/>
      <c r="F1903" s="20"/>
      <c r="G1903" s="20"/>
      <c r="H1903" s="20"/>
      <c r="I1903" s="20"/>
      <c r="J1903" s="20"/>
      <c r="K1903" s="20"/>
      <c r="L1903" s="20"/>
      <c r="M1903" s="20"/>
      <c r="N1903" s="20"/>
      <c r="O1903" s="20"/>
      <c r="P1903" s="20"/>
      <c r="Q1903" s="20"/>
      <c r="R1903" s="20"/>
      <c r="S1903" s="20"/>
      <c r="T1903" s="20"/>
      <c r="U1903" s="20"/>
      <c r="V1903" s="20"/>
      <c r="W1903" s="20"/>
      <c r="X1903" s="20"/>
      <c r="Y1903" s="20"/>
    </row>
    <row r="1904" spans="1:25" x14ac:dyDescent="0.3">
      <c r="A1904" s="20"/>
      <c r="B1904" s="20"/>
      <c r="C1904" s="20"/>
      <c r="D1904" s="20"/>
      <c r="E1904" s="20"/>
      <c r="F1904" s="20"/>
      <c r="G1904" s="20"/>
      <c r="H1904" s="20"/>
      <c r="I1904" s="20"/>
      <c r="J1904" s="20"/>
      <c r="K1904" s="20"/>
      <c r="L1904" s="20"/>
      <c r="M1904" s="20"/>
      <c r="N1904" s="20"/>
      <c r="O1904" s="20"/>
      <c r="P1904" s="20"/>
      <c r="Q1904" s="20"/>
      <c r="R1904" s="20"/>
      <c r="S1904" s="20"/>
      <c r="T1904" s="20"/>
      <c r="U1904" s="20"/>
      <c r="V1904" s="20"/>
      <c r="W1904" s="20"/>
      <c r="X1904" s="20"/>
      <c r="Y1904" s="20"/>
    </row>
    <row r="1905" spans="1:25" x14ac:dyDescent="0.3">
      <c r="A1905" s="20"/>
      <c r="B1905" s="20"/>
      <c r="C1905" s="20"/>
      <c r="D1905" s="20"/>
      <c r="E1905" s="20"/>
      <c r="F1905" s="20"/>
      <c r="G1905" s="20"/>
      <c r="H1905" s="20"/>
      <c r="I1905" s="20"/>
      <c r="J1905" s="20"/>
      <c r="K1905" s="20"/>
      <c r="L1905" s="20"/>
      <c r="M1905" s="20"/>
      <c r="N1905" s="20"/>
      <c r="O1905" s="20"/>
      <c r="P1905" s="20"/>
      <c r="Q1905" s="20"/>
      <c r="R1905" s="20"/>
      <c r="S1905" s="20"/>
      <c r="T1905" s="20"/>
      <c r="U1905" s="20"/>
      <c r="V1905" s="20"/>
      <c r="W1905" s="20"/>
      <c r="X1905" s="20"/>
      <c r="Y1905" s="20"/>
    </row>
    <row r="1906" spans="1:25" x14ac:dyDescent="0.3">
      <c r="A1906" s="20"/>
      <c r="B1906" s="20"/>
      <c r="C1906" s="20"/>
      <c r="D1906" s="20"/>
      <c r="E1906" s="20"/>
      <c r="F1906" s="20"/>
      <c r="G1906" s="20"/>
      <c r="H1906" s="20"/>
      <c r="I1906" s="20"/>
      <c r="J1906" s="20"/>
      <c r="K1906" s="20"/>
      <c r="L1906" s="20"/>
      <c r="M1906" s="20"/>
      <c r="N1906" s="20"/>
      <c r="O1906" s="20"/>
      <c r="P1906" s="20"/>
      <c r="Q1906" s="20"/>
      <c r="R1906" s="20"/>
      <c r="S1906" s="20"/>
      <c r="T1906" s="20"/>
      <c r="U1906" s="20"/>
      <c r="V1906" s="20"/>
      <c r="W1906" s="20"/>
      <c r="X1906" s="20"/>
      <c r="Y1906" s="20"/>
    </row>
    <row r="1907" spans="1:25" x14ac:dyDescent="0.3">
      <c r="A1907" s="20"/>
      <c r="B1907" s="20"/>
      <c r="C1907" s="20"/>
      <c r="D1907" s="20"/>
      <c r="E1907" s="20"/>
      <c r="F1907" s="20"/>
      <c r="G1907" s="20"/>
      <c r="H1907" s="20"/>
      <c r="I1907" s="20"/>
      <c r="J1907" s="20"/>
      <c r="K1907" s="20"/>
      <c r="L1907" s="20"/>
      <c r="M1907" s="20"/>
      <c r="N1907" s="20"/>
      <c r="O1907" s="20"/>
      <c r="P1907" s="20"/>
      <c r="Q1907" s="20"/>
      <c r="R1907" s="20"/>
      <c r="S1907" s="20"/>
      <c r="T1907" s="20"/>
      <c r="U1907" s="20"/>
      <c r="V1907" s="20"/>
      <c r="W1907" s="20"/>
      <c r="X1907" s="20"/>
      <c r="Y1907" s="20"/>
    </row>
    <row r="1908" spans="1:25" x14ac:dyDescent="0.3">
      <c r="A1908" s="20"/>
      <c r="B1908" s="20"/>
      <c r="C1908" s="20"/>
      <c r="D1908" s="20"/>
      <c r="E1908" s="20"/>
      <c r="F1908" s="20"/>
      <c r="G1908" s="20"/>
      <c r="H1908" s="20"/>
      <c r="I1908" s="20"/>
      <c r="J1908" s="20"/>
      <c r="K1908" s="20"/>
      <c r="L1908" s="20"/>
      <c r="M1908" s="20"/>
      <c r="N1908" s="20"/>
      <c r="O1908" s="20"/>
      <c r="P1908" s="20"/>
      <c r="Q1908" s="20"/>
      <c r="R1908" s="20"/>
      <c r="S1908" s="20"/>
      <c r="T1908" s="20"/>
      <c r="U1908" s="20"/>
      <c r="V1908" s="20"/>
      <c r="W1908" s="20"/>
      <c r="X1908" s="20"/>
      <c r="Y1908" s="20"/>
    </row>
    <row r="1909" spans="1:25" x14ac:dyDescent="0.3">
      <c r="A1909" s="20"/>
      <c r="B1909" s="20"/>
      <c r="C1909" s="20"/>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row>
    <row r="1910" spans="1:25" x14ac:dyDescent="0.3">
      <c r="A1910" s="20"/>
      <c r="B1910" s="20"/>
      <c r="C1910" s="20"/>
      <c r="D1910" s="20"/>
      <c r="E1910" s="20"/>
      <c r="F1910" s="20"/>
      <c r="G1910" s="20"/>
      <c r="H1910" s="20"/>
      <c r="I1910" s="20"/>
      <c r="J1910" s="20"/>
      <c r="K1910" s="20"/>
      <c r="L1910" s="20"/>
      <c r="M1910" s="20"/>
      <c r="N1910" s="20"/>
      <c r="O1910" s="20"/>
      <c r="P1910" s="20"/>
      <c r="Q1910" s="20"/>
      <c r="R1910" s="20"/>
      <c r="S1910" s="20"/>
      <c r="T1910" s="20"/>
      <c r="U1910" s="20"/>
      <c r="V1910" s="20"/>
      <c r="W1910" s="20"/>
      <c r="X1910" s="20"/>
      <c r="Y1910" s="20"/>
    </row>
    <row r="1911" spans="1:25" x14ac:dyDescent="0.3">
      <c r="A1911" s="20"/>
      <c r="B1911" s="20"/>
      <c r="C1911" s="20"/>
      <c r="D1911" s="20"/>
      <c r="E1911" s="20"/>
      <c r="F1911" s="20"/>
      <c r="G1911" s="20"/>
      <c r="H1911" s="20"/>
      <c r="I1911" s="20"/>
      <c r="J1911" s="20"/>
      <c r="K1911" s="20"/>
      <c r="L1911" s="20"/>
      <c r="M1911" s="20"/>
      <c r="N1911" s="20"/>
      <c r="O1911" s="20"/>
      <c r="P1911" s="20"/>
      <c r="Q1911" s="20"/>
      <c r="R1911" s="20"/>
      <c r="S1911" s="20"/>
      <c r="T1911" s="20"/>
      <c r="U1911" s="20"/>
      <c r="V1911" s="20"/>
      <c r="W1911" s="20"/>
      <c r="X1911" s="20"/>
      <c r="Y1911" s="20"/>
    </row>
    <row r="1912" spans="1:25" x14ac:dyDescent="0.3">
      <c r="A1912" s="20"/>
      <c r="B1912" s="20"/>
      <c r="C1912" s="20"/>
      <c r="D1912" s="20"/>
      <c r="E1912" s="20"/>
      <c r="F1912" s="20"/>
      <c r="G1912" s="20"/>
      <c r="H1912" s="20"/>
      <c r="I1912" s="20"/>
      <c r="J1912" s="20"/>
      <c r="K1912" s="20"/>
      <c r="L1912" s="20"/>
      <c r="M1912" s="20"/>
      <c r="N1912" s="20"/>
      <c r="O1912" s="20"/>
      <c r="P1912" s="20"/>
      <c r="Q1912" s="20"/>
      <c r="R1912" s="20"/>
      <c r="S1912" s="20"/>
      <c r="T1912" s="20"/>
      <c r="U1912" s="20"/>
      <c r="V1912" s="20"/>
      <c r="W1912" s="20"/>
      <c r="X1912" s="20"/>
      <c r="Y1912" s="20"/>
    </row>
    <row r="1913" spans="1:25" x14ac:dyDescent="0.3">
      <c r="A1913" s="20"/>
      <c r="B1913" s="20"/>
      <c r="C1913" s="20"/>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row>
    <row r="1914" spans="1:25" x14ac:dyDescent="0.3">
      <c r="A1914" s="20"/>
      <c r="B1914" s="20"/>
      <c r="C1914" s="20"/>
      <c r="D1914" s="20"/>
      <c r="E1914" s="20"/>
      <c r="F1914" s="20"/>
      <c r="G1914" s="20"/>
      <c r="H1914" s="20"/>
      <c r="I1914" s="20"/>
      <c r="J1914" s="20"/>
      <c r="K1914" s="20"/>
      <c r="L1914" s="20"/>
      <c r="M1914" s="20"/>
      <c r="N1914" s="20"/>
      <c r="O1914" s="20"/>
      <c r="P1914" s="20"/>
      <c r="Q1914" s="20"/>
      <c r="R1914" s="20"/>
      <c r="S1914" s="20"/>
      <c r="T1914" s="20"/>
      <c r="U1914" s="20"/>
      <c r="V1914" s="20"/>
      <c r="W1914" s="20"/>
      <c r="X1914" s="20"/>
      <c r="Y1914" s="20"/>
    </row>
    <row r="1915" spans="1:25" x14ac:dyDescent="0.3">
      <c r="A1915" s="20"/>
      <c r="B1915" s="20"/>
      <c r="C1915" s="20"/>
      <c r="D1915" s="20"/>
      <c r="E1915" s="20"/>
      <c r="F1915" s="20"/>
      <c r="G1915" s="20"/>
      <c r="H1915" s="20"/>
      <c r="I1915" s="20"/>
      <c r="J1915" s="20"/>
      <c r="K1915" s="20"/>
      <c r="L1915" s="20"/>
      <c r="M1915" s="20"/>
      <c r="N1915" s="20"/>
      <c r="O1915" s="20"/>
      <c r="P1915" s="20"/>
      <c r="Q1915" s="20"/>
      <c r="R1915" s="20"/>
      <c r="S1915" s="20"/>
      <c r="T1915" s="20"/>
      <c r="U1915" s="20"/>
      <c r="V1915" s="20"/>
      <c r="W1915" s="20"/>
      <c r="X1915" s="20"/>
      <c r="Y1915" s="20"/>
    </row>
    <row r="1916" spans="1:25" x14ac:dyDescent="0.3">
      <c r="A1916" s="20"/>
      <c r="B1916" s="20"/>
      <c r="C1916" s="20"/>
      <c r="D1916" s="20"/>
      <c r="E1916" s="20"/>
      <c r="F1916" s="20"/>
      <c r="G1916" s="20"/>
      <c r="H1916" s="20"/>
      <c r="I1916" s="20"/>
      <c r="J1916" s="20"/>
      <c r="K1916" s="20"/>
      <c r="L1916" s="20"/>
      <c r="M1916" s="20"/>
      <c r="N1916" s="20"/>
      <c r="O1916" s="20"/>
      <c r="P1916" s="20"/>
      <c r="Q1916" s="20"/>
      <c r="R1916" s="20"/>
      <c r="S1916" s="20"/>
      <c r="T1916" s="20"/>
      <c r="U1916" s="20"/>
      <c r="V1916" s="20"/>
      <c r="W1916" s="20"/>
      <c r="X1916" s="20"/>
      <c r="Y1916" s="20"/>
    </row>
    <row r="1917" spans="1:25" x14ac:dyDescent="0.3">
      <c r="A1917" s="20"/>
      <c r="B1917" s="20"/>
      <c r="C1917" s="20"/>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row>
    <row r="1918" spans="1:25" x14ac:dyDescent="0.3">
      <c r="A1918" s="20"/>
      <c r="B1918" s="20"/>
      <c r="C1918" s="20"/>
      <c r="D1918" s="20"/>
      <c r="E1918" s="20"/>
      <c r="F1918" s="20"/>
      <c r="G1918" s="20"/>
      <c r="H1918" s="20"/>
      <c r="I1918" s="20"/>
      <c r="J1918" s="20"/>
      <c r="K1918" s="20"/>
      <c r="L1918" s="20"/>
      <c r="M1918" s="20"/>
      <c r="N1918" s="20"/>
      <c r="O1918" s="20"/>
      <c r="P1918" s="20"/>
      <c r="Q1918" s="20"/>
      <c r="R1918" s="20"/>
      <c r="S1918" s="20"/>
      <c r="T1918" s="20"/>
      <c r="U1918" s="20"/>
      <c r="V1918" s="20"/>
      <c r="W1918" s="20"/>
      <c r="X1918" s="20"/>
      <c r="Y1918" s="20"/>
    </row>
    <row r="1919" spans="1:25" x14ac:dyDescent="0.3">
      <c r="A1919" s="20"/>
      <c r="B1919" s="20"/>
      <c r="C1919" s="20"/>
      <c r="D1919" s="20"/>
      <c r="E1919" s="20"/>
      <c r="F1919" s="20"/>
      <c r="G1919" s="20"/>
      <c r="H1919" s="20"/>
      <c r="I1919" s="20"/>
      <c r="J1919" s="20"/>
      <c r="K1919" s="20"/>
      <c r="L1919" s="20"/>
      <c r="M1919" s="20"/>
      <c r="N1919" s="20"/>
      <c r="O1919" s="20"/>
      <c r="P1919" s="20"/>
      <c r="Q1919" s="20"/>
      <c r="R1919" s="20"/>
      <c r="S1919" s="20"/>
      <c r="T1919" s="20"/>
      <c r="U1919" s="20"/>
      <c r="V1919" s="20"/>
      <c r="W1919" s="20"/>
      <c r="X1919" s="20"/>
      <c r="Y1919" s="20"/>
    </row>
    <row r="1920" spans="1:25" x14ac:dyDescent="0.3">
      <c r="A1920" s="20"/>
      <c r="B1920" s="20"/>
      <c r="C1920" s="20"/>
      <c r="D1920" s="20"/>
      <c r="E1920" s="20"/>
      <c r="F1920" s="20"/>
      <c r="G1920" s="20"/>
      <c r="H1920" s="20"/>
      <c r="I1920" s="20"/>
      <c r="J1920" s="20"/>
      <c r="K1920" s="20"/>
      <c r="L1920" s="20"/>
      <c r="M1920" s="20"/>
      <c r="N1920" s="20"/>
      <c r="O1920" s="20"/>
      <c r="P1920" s="20"/>
      <c r="Q1920" s="20"/>
      <c r="R1920" s="20"/>
      <c r="S1920" s="20"/>
      <c r="T1920" s="20"/>
      <c r="U1920" s="20"/>
      <c r="V1920" s="20"/>
      <c r="W1920" s="20"/>
      <c r="X1920" s="20"/>
      <c r="Y1920" s="20"/>
    </row>
    <row r="1921" spans="1:25" x14ac:dyDescent="0.3">
      <c r="A1921" s="20"/>
      <c r="B1921" s="20"/>
      <c r="C1921" s="20"/>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row>
    <row r="1922" spans="1:25" x14ac:dyDescent="0.3">
      <c r="A1922" s="20"/>
      <c r="B1922" s="20"/>
      <c r="C1922" s="20"/>
      <c r="D1922" s="20"/>
      <c r="E1922" s="20"/>
      <c r="F1922" s="20"/>
      <c r="G1922" s="20"/>
      <c r="H1922" s="20"/>
      <c r="I1922" s="20"/>
      <c r="J1922" s="20"/>
      <c r="K1922" s="20"/>
      <c r="L1922" s="20"/>
      <c r="M1922" s="20"/>
      <c r="N1922" s="20"/>
      <c r="O1922" s="20"/>
      <c r="P1922" s="20"/>
      <c r="Q1922" s="20"/>
      <c r="R1922" s="20"/>
      <c r="S1922" s="20"/>
      <c r="T1922" s="20"/>
      <c r="U1922" s="20"/>
      <c r="V1922" s="20"/>
      <c r="W1922" s="20"/>
      <c r="X1922" s="20"/>
      <c r="Y1922" s="20"/>
    </row>
    <row r="1923" spans="1:25" x14ac:dyDescent="0.3">
      <c r="A1923" s="20"/>
      <c r="B1923" s="20"/>
      <c r="C1923" s="20"/>
      <c r="D1923" s="20"/>
      <c r="E1923" s="20"/>
      <c r="F1923" s="20"/>
      <c r="G1923" s="20"/>
      <c r="H1923" s="20"/>
      <c r="I1923" s="20"/>
      <c r="J1923" s="20"/>
      <c r="K1923" s="20"/>
      <c r="L1923" s="20"/>
      <c r="M1923" s="20"/>
      <c r="N1923" s="20"/>
      <c r="O1923" s="20"/>
      <c r="P1923" s="20"/>
      <c r="Q1923" s="20"/>
      <c r="R1923" s="20"/>
      <c r="S1923" s="20"/>
      <c r="T1923" s="20"/>
      <c r="U1923" s="20"/>
      <c r="V1923" s="20"/>
      <c r="W1923" s="20"/>
      <c r="X1923" s="20"/>
      <c r="Y1923" s="20"/>
    </row>
    <row r="1924" spans="1:25" x14ac:dyDescent="0.3">
      <c r="A1924" s="20"/>
      <c r="B1924" s="20"/>
      <c r="C1924" s="20"/>
      <c r="D1924" s="20"/>
      <c r="E1924" s="20"/>
      <c r="F1924" s="20"/>
      <c r="G1924" s="20"/>
      <c r="H1924" s="20"/>
      <c r="I1924" s="20"/>
      <c r="J1924" s="20"/>
      <c r="K1924" s="20"/>
      <c r="L1924" s="20"/>
      <c r="M1924" s="20"/>
      <c r="N1924" s="20"/>
      <c r="O1924" s="20"/>
      <c r="P1924" s="20"/>
      <c r="Q1924" s="20"/>
      <c r="R1924" s="20"/>
      <c r="S1924" s="20"/>
      <c r="T1924" s="20"/>
      <c r="U1924" s="20"/>
      <c r="V1924" s="20"/>
      <c r="W1924" s="20"/>
      <c r="X1924" s="20"/>
      <c r="Y1924" s="20"/>
    </row>
    <row r="1925" spans="1:25" x14ac:dyDescent="0.3">
      <c r="A1925" s="20"/>
      <c r="B1925" s="20"/>
      <c r="C1925" s="20"/>
      <c r="D1925" s="20"/>
      <c r="E1925" s="20"/>
      <c r="F1925" s="20"/>
      <c r="G1925" s="20"/>
      <c r="H1925" s="20"/>
      <c r="I1925" s="20"/>
      <c r="J1925" s="20"/>
      <c r="K1925" s="20"/>
      <c r="L1925" s="20"/>
      <c r="M1925" s="20"/>
      <c r="N1925" s="20"/>
      <c r="O1925" s="20"/>
      <c r="P1925" s="20"/>
      <c r="Q1925" s="20"/>
      <c r="R1925" s="20"/>
      <c r="S1925" s="20"/>
      <c r="T1925" s="20"/>
      <c r="U1925" s="20"/>
      <c r="V1925" s="20"/>
      <c r="W1925" s="20"/>
      <c r="X1925" s="20"/>
      <c r="Y1925" s="20"/>
    </row>
    <row r="1926" spans="1:25" x14ac:dyDescent="0.3">
      <c r="A1926" s="20"/>
      <c r="B1926" s="20"/>
      <c r="C1926" s="20"/>
      <c r="D1926" s="20"/>
      <c r="E1926" s="20"/>
      <c r="F1926" s="20"/>
      <c r="G1926" s="20"/>
      <c r="H1926" s="20"/>
      <c r="I1926" s="20"/>
      <c r="J1926" s="20"/>
      <c r="K1926" s="20"/>
      <c r="L1926" s="20"/>
      <c r="M1926" s="20"/>
      <c r="N1926" s="20"/>
      <c r="O1926" s="20"/>
      <c r="P1926" s="20"/>
      <c r="Q1926" s="20"/>
      <c r="R1926" s="20"/>
      <c r="S1926" s="20"/>
      <c r="T1926" s="20"/>
      <c r="U1926" s="20"/>
      <c r="V1926" s="20"/>
      <c r="W1926" s="20"/>
      <c r="X1926" s="20"/>
      <c r="Y1926" s="20"/>
    </row>
    <row r="1927" spans="1:25" x14ac:dyDescent="0.3">
      <c r="A1927" s="20"/>
      <c r="B1927" s="20"/>
      <c r="C1927" s="20"/>
      <c r="D1927" s="20"/>
      <c r="E1927" s="20"/>
      <c r="F1927" s="20"/>
      <c r="G1927" s="20"/>
      <c r="H1927" s="20"/>
      <c r="I1927" s="20"/>
      <c r="J1927" s="20"/>
      <c r="K1927" s="20"/>
      <c r="L1927" s="20"/>
      <c r="M1927" s="20"/>
      <c r="N1927" s="20"/>
      <c r="O1927" s="20"/>
      <c r="P1927" s="20"/>
      <c r="Q1927" s="20"/>
      <c r="R1927" s="20"/>
      <c r="S1927" s="20"/>
      <c r="T1927" s="20"/>
      <c r="U1927" s="20"/>
      <c r="V1927" s="20"/>
      <c r="W1927" s="20"/>
      <c r="X1927" s="20"/>
      <c r="Y1927" s="20"/>
    </row>
    <row r="1928" spans="1:25" x14ac:dyDescent="0.3">
      <c r="A1928" s="20"/>
      <c r="B1928" s="20"/>
      <c r="C1928" s="20"/>
      <c r="D1928" s="20"/>
      <c r="E1928" s="20"/>
      <c r="F1928" s="20"/>
      <c r="G1928" s="20"/>
      <c r="H1928" s="20"/>
      <c r="I1928" s="20"/>
      <c r="J1928" s="20"/>
      <c r="K1928" s="20"/>
      <c r="L1928" s="20"/>
      <c r="M1928" s="20"/>
      <c r="N1928" s="20"/>
      <c r="O1928" s="20"/>
      <c r="P1928" s="20"/>
      <c r="Q1928" s="20"/>
      <c r="R1928" s="20"/>
      <c r="S1928" s="20"/>
      <c r="T1928" s="20"/>
      <c r="U1928" s="20"/>
      <c r="V1928" s="20"/>
      <c r="W1928" s="20"/>
      <c r="X1928" s="20"/>
      <c r="Y1928" s="20"/>
    </row>
    <row r="1929" spans="1:25" x14ac:dyDescent="0.3">
      <c r="A1929" s="20"/>
      <c r="B1929" s="20"/>
      <c r="C1929" s="20"/>
      <c r="D1929" s="20"/>
      <c r="E1929" s="20"/>
      <c r="F1929" s="20"/>
      <c r="G1929" s="20"/>
      <c r="H1929" s="20"/>
      <c r="I1929" s="20"/>
      <c r="J1929" s="20"/>
      <c r="K1929" s="20"/>
      <c r="L1929" s="20"/>
      <c r="M1929" s="20"/>
      <c r="N1929" s="20"/>
      <c r="O1929" s="20"/>
      <c r="P1929" s="20"/>
      <c r="Q1929" s="20"/>
      <c r="R1929" s="20"/>
      <c r="S1929" s="20"/>
      <c r="T1929" s="20"/>
      <c r="U1929" s="20"/>
      <c r="V1929" s="20"/>
      <c r="W1929" s="20"/>
      <c r="X1929" s="20"/>
      <c r="Y1929" s="20"/>
    </row>
    <row r="1930" spans="1:25" x14ac:dyDescent="0.3">
      <c r="A1930" s="20"/>
      <c r="B1930" s="20"/>
      <c r="C1930" s="20"/>
      <c r="D1930" s="20"/>
      <c r="E1930" s="20"/>
      <c r="F1930" s="20"/>
      <c r="G1930" s="20"/>
      <c r="H1930" s="20"/>
      <c r="I1930" s="20"/>
      <c r="J1930" s="20"/>
      <c r="K1930" s="20"/>
      <c r="L1930" s="20"/>
      <c r="M1930" s="20"/>
      <c r="N1930" s="20"/>
      <c r="O1930" s="20"/>
      <c r="P1930" s="20"/>
      <c r="Q1930" s="20"/>
      <c r="R1930" s="20"/>
      <c r="S1930" s="20"/>
      <c r="T1930" s="20"/>
      <c r="U1930" s="20"/>
      <c r="V1930" s="20"/>
      <c r="W1930" s="20"/>
      <c r="X1930" s="20"/>
      <c r="Y1930" s="20"/>
    </row>
    <row r="1931" spans="1:25" x14ac:dyDescent="0.3">
      <c r="A1931" s="20"/>
      <c r="B1931" s="20"/>
      <c r="C1931" s="20"/>
      <c r="D1931" s="20"/>
      <c r="E1931" s="20"/>
      <c r="F1931" s="20"/>
      <c r="G1931" s="20"/>
      <c r="H1931" s="20"/>
      <c r="I1931" s="20"/>
      <c r="J1931" s="20"/>
      <c r="K1931" s="20"/>
      <c r="L1931" s="20"/>
      <c r="M1931" s="20"/>
      <c r="N1931" s="20"/>
      <c r="O1931" s="20"/>
      <c r="P1931" s="20"/>
      <c r="Q1931" s="20"/>
      <c r="R1931" s="20"/>
      <c r="S1931" s="20"/>
      <c r="T1931" s="20"/>
      <c r="U1931" s="20"/>
      <c r="V1931" s="20"/>
      <c r="W1931" s="20"/>
      <c r="X1931" s="20"/>
      <c r="Y1931" s="20"/>
    </row>
    <row r="1932" spans="1:25" x14ac:dyDescent="0.3">
      <c r="A1932" s="20"/>
      <c r="B1932" s="20"/>
      <c r="C1932" s="20"/>
      <c r="D1932" s="20"/>
      <c r="E1932" s="20"/>
      <c r="F1932" s="20"/>
      <c r="G1932" s="20"/>
      <c r="H1932" s="20"/>
      <c r="I1932" s="20"/>
      <c r="J1932" s="20"/>
      <c r="K1932" s="20"/>
      <c r="L1932" s="20"/>
      <c r="M1932" s="20"/>
      <c r="N1932" s="20"/>
      <c r="O1932" s="20"/>
      <c r="P1932" s="20"/>
      <c r="Q1932" s="20"/>
      <c r="R1932" s="20"/>
      <c r="S1932" s="20"/>
      <c r="T1932" s="20"/>
      <c r="U1932" s="20"/>
      <c r="V1932" s="20"/>
      <c r="W1932" s="20"/>
      <c r="X1932" s="20"/>
      <c r="Y1932" s="20"/>
    </row>
    <row r="1933" spans="1:25" x14ac:dyDescent="0.3">
      <c r="A1933" s="20"/>
      <c r="B1933" s="20"/>
      <c r="C1933" s="20"/>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row>
    <row r="1934" spans="1:25" x14ac:dyDescent="0.3">
      <c r="A1934" s="20"/>
      <c r="B1934" s="20"/>
      <c r="C1934" s="20"/>
      <c r="D1934" s="20"/>
      <c r="E1934" s="20"/>
      <c r="F1934" s="20"/>
      <c r="G1934" s="20"/>
      <c r="H1934" s="20"/>
      <c r="I1934" s="20"/>
      <c r="J1934" s="20"/>
      <c r="K1934" s="20"/>
      <c r="L1934" s="20"/>
      <c r="M1934" s="20"/>
      <c r="N1934" s="20"/>
      <c r="O1934" s="20"/>
      <c r="P1934" s="20"/>
      <c r="Q1934" s="20"/>
      <c r="R1934" s="20"/>
      <c r="S1934" s="20"/>
      <c r="T1934" s="20"/>
      <c r="U1934" s="20"/>
      <c r="V1934" s="20"/>
      <c r="W1934" s="20"/>
      <c r="X1934" s="20"/>
      <c r="Y1934" s="20"/>
    </row>
    <row r="1935" spans="1:25" x14ac:dyDescent="0.3">
      <c r="A1935" s="20"/>
      <c r="B1935" s="20"/>
      <c r="C1935" s="20"/>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row>
    <row r="1936" spans="1:25" x14ac:dyDescent="0.3">
      <c r="A1936" s="20"/>
      <c r="B1936" s="20"/>
      <c r="C1936" s="20"/>
      <c r="D1936" s="20"/>
      <c r="E1936" s="20"/>
      <c r="F1936" s="20"/>
      <c r="G1936" s="20"/>
      <c r="H1936" s="20"/>
      <c r="I1936" s="20"/>
      <c r="J1936" s="20"/>
      <c r="K1936" s="20"/>
      <c r="L1936" s="20"/>
      <c r="M1936" s="20"/>
      <c r="N1936" s="20"/>
      <c r="O1936" s="20"/>
      <c r="P1936" s="20"/>
      <c r="Q1936" s="20"/>
      <c r="R1936" s="20"/>
      <c r="S1936" s="20"/>
      <c r="T1936" s="20"/>
      <c r="U1936" s="20"/>
      <c r="V1936" s="20"/>
      <c r="W1936" s="20"/>
      <c r="X1936" s="20"/>
      <c r="Y1936" s="20"/>
    </row>
    <row r="1937" spans="1:25" x14ac:dyDescent="0.3">
      <c r="A1937" s="20"/>
      <c r="B1937" s="20"/>
      <c r="C1937" s="20"/>
      <c r="D1937" s="20"/>
      <c r="E1937" s="20"/>
      <c r="F1937" s="20"/>
      <c r="G1937" s="20"/>
      <c r="H1937" s="20"/>
      <c r="I1937" s="20"/>
      <c r="J1937" s="20"/>
      <c r="K1937" s="20"/>
      <c r="L1937" s="20"/>
      <c r="M1937" s="20"/>
      <c r="N1937" s="20"/>
      <c r="O1937" s="20"/>
      <c r="P1937" s="20"/>
      <c r="Q1937" s="20"/>
      <c r="R1937" s="20"/>
      <c r="S1937" s="20"/>
      <c r="T1937" s="20"/>
      <c r="U1937" s="20"/>
      <c r="V1937" s="20"/>
      <c r="W1937" s="20"/>
      <c r="X1937" s="20"/>
      <c r="Y1937" s="20"/>
    </row>
    <row r="1938" spans="1:25" x14ac:dyDescent="0.3">
      <c r="A1938" s="20"/>
      <c r="B1938" s="20"/>
      <c r="C1938" s="20"/>
      <c r="D1938" s="20"/>
      <c r="E1938" s="20"/>
      <c r="F1938" s="20"/>
      <c r="G1938" s="20"/>
      <c r="H1938" s="20"/>
      <c r="I1938" s="20"/>
      <c r="J1938" s="20"/>
      <c r="K1938" s="20"/>
      <c r="L1938" s="20"/>
      <c r="M1938" s="20"/>
      <c r="N1938" s="20"/>
      <c r="O1938" s="20"/>
      <c r="P1938" s="20"/>
      <c r="Q1938" s="20"/>
      <c r="R1938" s="20"/>
      <c r="S1938" s="20"/>
      <c r="T1938" s="20"/>
      <c r="U1938" s="20"/>
      <c r="V1938" s="20"/>
      <c r="W1938" s="20"/>
      <c r="X1938" s="20"/>
      <c r="Y1938" s="20"/>
    </row>
    <row r="1939" spans="1:25" x14ac:dyDescent="0.3">
      <c r="A1939" s="20"/>
      <c r="B1939" s="20"/>
      <c r="C1939" s="20"/>
      <c r="D1939" s="20"/>
      <c r="E1939" s="20"/>
      <c r="F1939" s="20"/>
      <c r="G1939" s="20"/>
      <c r="H1939" s="20"/>
      <c r="I1939" s="20"/>
      <c r="J1939" s="20"/>
      <c r="K1939" s="20"/>
      <c r="L1939" s="20"/>
      <c r="M1939" s="20"/>
      <c r="N1939" s="20"/>
      <c r="O1939" s="20"/>
      <c r="P1939" s="20"/>
      <c r="Q1939" s="20"/>
      <c r="R1939" s="20"/>
      <c r="S1939" s="20"/>
      <c r="T1939" s="20"/>
      <c r="U1939" s="20"/>
      <c r="V1939" s="20"/>
      <c r="W1939" s="20"/>
      <c r="X1939" s="20"/>
      <c r="Y1939" s="20"/>
    </row>
    <row r="1940" spans="1:25" x14ac:dyDescent="0.3">
      <c r="A1940" s="20"/>
      <c r="B1940" s="20"/>
      <c r="C1940" s="20"/>
      <c r="D1940" s="20"/>
      <c r="E1940" s="20"/>
      <c r="F1940" s="20"/>
      <c r="G1940" s="20"/>
      <c r="H1940" s="20"/>
      <c r="I1940" s="20"/>
      <c r="J1940" s="20"/>
      <c r="K1940" s="20"/>
      <c r="L1940" s="20"/>
      <c r="M1940" s="20"/>
      <c r="N1940" s="20"/>
      <c r="O1940" s="20"/>
      <c r="P1940" s="20"/>
      <c r="Q1940" s="20"/>
      <c r="R1940" s="20"/>
      <c r="S1940" s="20"/>
      <c r="T1940" s="20"/>
      <c r="U1940" s="20"/>
      <c r="V1940" s="20"/>
      <c r="W1940" s="20"/>
      <c r="X1940" s="20"/>
      <c r="Y1940" s="20"/>
    </row>
    <row r="1941" spans="1:25" x14ac:dyDescent="0.3">
      <c r="A1941" s="20"/>
      <c r="B1941" s="20"/>
      <c r="C1941" s="20"/>
      <c r="D1941" s="20"/>
      <c r="E1941" s="20"/>
      <c r="F1941" s="20"/>
      <c r="G1941" s="20"/>
      <c r="H1941" s="20"/>
      <c r="I1941" s="20"/>
      <c r="J1941" s="20"/>
      <c r="K1941" s="20"/>
      <c r="L1941" s="20"/>
      <c r="M1941" s="20"/>
      <c r="N1941" s="20"/>
      <c r="O1941" s="20"/>
      <c r="P1941" s="20"/>
      <c r="Q1941" s="20"/>
      <c r="R1941" s="20"/>
      <c r="S1941" s="20"/>
      <c r="T1941" s="20"/>
      <c r="U1941" s="20"/>
      <c r="V1941" s="20"/>
      <c r="W1941" s="20"/>
      <c r="X1941" s="20"/>
      <c r="Y1941" s="20"/>
    </row>
    <row r="1942" spans="1:25" x14ac:dyDescent="0.3">
      <c r="A1942" s="20"/>
      <c r="B1942" s="20"/>
      <c r="C1942" s="20"/>
      <c r="D1942" s="20"/>
      <c r="E1942" s="20"/>
      <c r="F1942" s="20"/>
      <c r="G1942" s="20"/>
      <c r="H1942" s="20"/>
      <c r="I1942" s="20"/>
      <c r="J1942" s="20"/>
      <c r="K1942" s="20"/>
      <c r="L1942" s="20"/>
      <c r="M1942" s="20"/>
      <c r="N1942" s="20"/>
      <c r="O1942" s="20"/>
      <c r="P1942" s="20"/>
      <c r="Q1942" s="20"/>
      <c r="R1942" s="20"/>
      <c r="S1942" s="20"/>
      <c r="T1942" s="20"/>
      <c r="U1942" s="20"/>
      <c r="V1942" s="20"/>
      <c r="W1942" s="20"/>
      <c r="X1942" s="20"/>
      <c r="Y1942" s="20"/>
    </row>
    <row r="1943" spans="1:25" x14ac:dyDescent="0.3">
      <c r="A1943" s="20"/>
      <c r="B1943" s="20"/>
      <c r="C1943" s="20"/>
      <c r="D1943" s="20"/>
      <c r="E1943" s="20"/>
      <c r="F1943" s="20"/>
      <c r="G1943" s="20"/>
      <c r="H1943" s="20"/>
      <c r="I1943" s="20"/>
      <c r="J1943" s="20"/>
      <c r="K1943" s="20"/>
      <c r="L1943" s="20"/>
      <c r="M1943" s="20"/>
      <c r="N1943" s="20"/>
      <c r="O1943" s="20"/>
      <c r="P1943" s="20"/>
      <c r="Q1943" s="20"/>
      <c r="R1943" s="20"/>
      <c r="S1943" s="20"/>
      <c r="T1943" s="20"/>
      <c r="U1943" s="20"/>
      <c r="V1943" s="20"/>
      <c r="W1943" s="20"/>
      <c r="X1943" s="20"/>
      <c r="Y1943" s="20"/>
    </row>
    <row r="1944" spans="1:25" x14ac:dyDescent="0.3">
      <c r="A1944" s="20"/>
      <c r="B1944" s="20"/>
      <c r="C1944" s="20"/>
      <c r="D1944" s="20"/>
      <c r="E1944" s="20"/>
      <c r="F1944" s="20"/>
      <c r="G1944" s="20"/>
      <c r="H1944" s="20"/>
      <c r="I1944" s="20"/>
      <c r="J1944" s="20"/>
      <c r="K1944" s="20"/>
      <c r="L1944" s="20"/>
      <c r="M1944" s="20"/>
      <c r="N1944" s="20"/>
      <c r="O1944" s="20"/>
      <c r="P1944" s="20"/>
      <c r="Q1944" s="20"/>
      <c r="R1944" s="20"/>
      <c r="S1944" s="20"/>
      <c r="T1944" s="20"/>
      <c r="U1944" s="20"/>
      <c r="V1944" s="20"/>
      <c r="W1944" s="20"/>
      <c r="X1944" s="20"/>
      <c r="Y1944" s="20"/>
    </row>
    <row r="1945" spans="1:25" x14ac:dyDescent="0.3">
      <c r="A1945" s="20"/>
      <c r="B1945" s="20"/>
      <c r="C1945" s="20"/>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row>
    <row r="1946" spans="1:25" x14ac:dyDescent="0.3">
      <c r="A1946" s="20"/>
      <c r="B1946" s="20"/>
      <c r="C1946" s="20"/>
      <c r="D1946" s="20"/>
      <c r="E1946" s="20"/>
      <c r="F1946" s="20"/>
      <c r="G1946" s="20"/>
      <c r="H1946" s="20"/>
      <c r="I1946" s="20"/>
      <c r="J1946" s="20"/>
      <c r="K1946" s="20"/>
      <c r="L1946" s="20"/>
      <c r="M1946" s="20"/>
      <c r="N1946" s="20"/>
      <c r="O1946" s="20"/>
      <c r="P1946" s="20"/>
      <c r="Q1946" s="20"/>
      <c r="R1946" s="20"/>
      <c r="S1946" s="20"/>
      <c r="T1946" s="20"/>
      <c r="U1946" s="20"/>
      <c r="V1946" s="20"/>
      <c r="W1946" s="20"/>
      <c r="X1946" s="20"/>
      <c r="Y1946" s="20"/>
    </row>
    <row r="1947" spans="1:25" x14ac:dyDescent="0.3">
      <c r="A1947" s="20"/>
      <c r="B1947" s="20"/>
      <c r="C1947" s="20"/>
      <c r="D1947" s="20"/>
      <c r="E1947" s="20"/>
      <c r="F1947" s="20"/>
      <c r="G1947" s="20"/>
      <c r="H1947" s="20"/>
      <c r="I1947" s="20"/>
      <c r="J1947" s="20"/>
      <c r="K1947" s="20"/>
      <c r="L1947" s="20"/>
      <c r="M1947" s="20"/>
      <c r="N1947" s="20"/>
      <c r="O1947" s="20"/>
      <c r="P1947" s="20"/>
      <c r="Q1947" s="20"/>
      <c r="R1947" s="20"/>
      <c r="S1947" s="20"/>
      <c r="T1947" s="20"/>
      <c r="U1947" s="20"/>
      <c r="V1947" s="20"/>
      <c r="W1947" s="20"/>
      <c r="X1947" s="20"/>
      <c r="Y1947" s="20"/>
    </row>
    <row r="1948" spans="1:25" x14ac:dyDescent="0.3">
      <c r="A1948" s="20"/>
      <c r="B1948" s="20"/>
      <c r="C1948" s="20"/>
      <c r="D1948" s="20"/>
      <c r="E1948" s="20"/>
      <c r="F1948" s="20"/>
      <c r="G1948" s="20"/>
      <c r="H1948" s="20"/>
      <c r="I1948" s="20"/>
      <c r="J1948" s="20"/>
      <c r="K1948" s="20"/>
      <c r="L1948" s="20"/>
      <c r="M1948" s="20"/>
      <c r="N1948" s="20"/>
      <c r="O1948" s="20"/>
      <c r="P1948" s="20"/>
      <c r="Q1948" s="20"/>
      <c r="R1948" s="20"/>
      <c r="S1948" s="20"/>
      <c r="T1948" s="20"/>
      <c r="U1948" s="20"/>
      <c r="V1948" s="20"/>
      <c r="W1948" s="20"/>
      <c r="X1948" s="20"/>
      <c r="Y1948" s="20"/>
    </row>
    <row r="1949" spans="1:25" x14ac:dyDescent="0.3">
      <c r="A1949" s="20"/>
      <c r="B1949" s="20"/>
      <c r="C1949" s="20"/>
      <c r="D1949" s="20"/>
      <c r="E1949" s="20"/>
      <c r="F1949" s="20"/>
      <c r="G1949" s="20"/>
      <c r="H1949" s="20"/>
      <c r="I1949" s="20"/>
      <c r="J1949" s="20"/>
      <c r="K1949" s="20"/>
      <c r="L1949" s="20"/>
      <c r="M1949" s="20"/>
      <c r="N1949" s="20"/>
      <c r="O1949" s="20"/>
      <c r="P1949" s="20"/>
      <c r="Q1949" s="20"/>
      <c r="R1949" s="20"/>
      <c r="S1949" s="20"/>
      <c r="T1949" s="20"/>
      <c r="U1949" s="20"/>
      <c r="V1949" s="20"/>
      <c r="W1949" s="20"/>
      <c r="X1949" s="20"/>
      <c r="Y1949" s="20"/>
    </row>
    <row r="1950" spans="1:25" x14ac:dyDescent="0.3">
      <c r="A1950" s="20"/>
      <c r="B1950" s="20"/>
      <c r="C1950" s="20"/>
      <c r="D1950" s="20"/>
      <c r="E1950" s="20"/>
      <c r="F1950" s="20"/>
      <c r="G1950" s="20"/>
      <c r="H1950" s="20"/>
      <c r="I1950" s="20"/>
      <c r="J1950" s="20"/>
      <c r="K1950" s="20"/>
      <c r="L1950" s="20"/>
      <c r="M1950" s="20"/>
      <c r="N1950" s="20"/>
      <c r="O1950" s="20"/>
      <c r="P1950" s="20"/>
      <c r="Q1950" s="20"/>
      <c r="R1950" s="20"/>
      <c r="S1950" s="20"/>
      <c r="T1950" s="20"/>
      <c r="U1950" s="20"/>
      <c r="V1950" s="20"/>
      <c r="W1950" s="20"/>
      <c r="X1950" s="20"/>
      <c r="Y1950" s="20"/>
    </row>
    <row r="1951" spans="1:25" x14ac:dyDescent="0.3">
      <c r="A1951" s="20"/>
      <c r="B1951" s="20"/>
      <c r="C1951" s="20"/>
      <c r="D1951" s="20"/>
      <c r="E1951" s="20"/>
      <c r="F1951" s="20"/>
      <c r="G1951" s="20"/>
      <c r="H1951" s="20"/>
      <c r="I1951" s="20"/>
      <c r="J1951" s="20"/>
      <c r="K1951" s="20"/>
      <c r="L1951" s="20"/>
      <c r="M1951" s="20"/>
      <c r="N1951" s="20"/>
      <c r="O1951" s="20"/>
      <c r="P1951" s="20"/>
      <c r="Q1951" s="20"/>
      <c r="R1951" s="20"/>
      <c r="S1951" s="20"/>
      <c r="T1951" s="20"/>
      <c r="U1951" s="20"/>
      <c r="V1951" s="20"/>
      <c r="W1951" s="20"/>
      <c r="X1951" s="20"/>
      <c r="Y1951" s="20"/>
    </row>
    <row r="1952" spans="1:25" x14ac:dyDescent="0.3">
      <c r="A1952" s="20"/>
      <c r="B1952" s="20"/>
      <c r="C1952" s="20"/>
      <c r="D1952" s="20"/>
      <c r="E1952" s="20"/>
      <c r="F1952" s="20"/>
      <c r="G1952" s="20"/>
      <c r="H1952" s="20"/>
      <c r="I1952" s="20"/>
      <c r="J1952" s="20"/>
      <c r="K1952" s="20"/>
      <c r="L1952" s="20"/>
      <c r="M1952" s="20"/>
      <c r="N1952" s="20"/>
      <c r="O1952" s="20"/>
      <c r="P1952" s="20"/>
      <c r="Q1952" s="20"/>
      <c r="R1952" s="20"/>
      <c r="S1952" s="20"/>
      <c r="T1952" s="20"/>
      <c r="U1952" s="20"/>
      <c r="V1952" s="20"/>
      <c r="W1952" s="20"/>
      <c r="X1952" s="20"/>
      <c r="Y1952" s="20"/>
    </row>
    <row r="1953" spans="1:25" x14ac:dyDescent="0.3">
      <c r="A1953" s="20"/>
      <c r="B1953" s="20"/>
      <c r="C1953" s="20"/>
      <c r="D1953" s="20"/>
      <c r="E1953" s="20"/>
      <c r="F1953" s="20"/>
      <c r="G1953" s="20"/>
      <c r="H1953" s="20"/>
      <c r="I1953" s="20"/>
      <c r="J1953" s="20"/>
      <c r="K1953" s="20"/>
      <c r="L1953" s="20"/>
      <c r="M1953" s="20"/>
      <c r="N1953" s="20"/>
      <c r="O1953" s="20"/>
      <c r="P1953" s="20"/>
      <c r="Q1953" s="20"/>
      <c r="R1953" s="20"/>
      <c r="S1953" s="20"/>
      <c r="T1953" s="20"/>
      <c r="U1953" s="20"/>
      <c r="V1953" s="20"/>
      <c r="W1953" s="20"/>
      <c r="X1953" s="20"/>
      <c r="Y1953" s="20"/>
    </row>
    <row r="1954" spans="1:25" x14ac:dyDescent="0.3">
      <c r="A1954" s="20"/>
      <c r="B1954" s="20"/>
      <c r="C1954" s="20"/>
      <c r="D1954" s="20"/>
      <c r="E1954" s="20"/>
      <c r="F1954" s="20"/>
      <c r="G1954" s="20"/>
      <c r="H1954" s="20"/>
      <c r="I1954" s="20"/>
      <c r="J1954" s="20"/>
      <c r="K1954" s="20"/>
      <c r="L1954" s="20"/>
      <c r="M1954" s="20"/>
      <c r="N1954" s="20"/>
      <c r="O1954" s="20"/>
      <c r="P1954" s="20"/>
      <c r="Q1954" s="20"/>
      <c r="R1954" s="20"/>
      <c r="S1954" s="20"/>
      <c r="T1954" s="20"/>
      <c r="U1954" s="20"/>
      <c r="V1954" s="20"/>
      <c r="W1954" s="20"/>
      <c r="X1954" s="20"/>
      <c r="Y1954" s="20"/>
    </row>
    <row r="1955" spans="1:25" x14ac:dyDescent="0.3">
      <c r="A1955" s="20"/>
      <c r="B1955" s="20"/>
      <c r="C1955" s="20"/>
      <c r="D1955" s="20"/>
      <c r="E1955" s="20"/>
      <c r="F1955" s="20"/>
      <c r="G1955" s="20"/>
      <c r="H1955" s="20"/>
      <c r="I1955" s="20"/>
      <c r="J1955" s="20"/>
      <c r="K1955" s="20"/>
      <c r="L1955" s="20"/>
      <c r="M1955" s="20"/>
      <c r="N1955" s="20"/>
      <c r="O1955" s="20"/>
      <c r="P1955" s="20"/>
      <c r="Q1955" s="20"/>
      <c r="R1955" s="20"/>
      <c r="S1955" s="20"/>
      <c r="T1955" s="20"/>
      <c r="U1955" s="20"/>
      <c r="V1955" s="20"/>
      <c r="W1955" s="20"/>
      <c r="X1955" s="20"/>
      <c r="Y1955" s="20"/>
    </row>
    <row r="1956" spans="1:25" x14ac:dyDescent="0.3">
      <c r="A1956" s="20"/>
      <c r="B1956" s="20"/>
      <c r="C1956" s="20"/>
      <c r="D1956" s="20"/>
      <c r="E1956" s="20"/>
      <c r="F1956" s="20"/>
      <c r="G1956" s="20"/>
      <c r="H1956" s="20"/>
      <c r="I1956" s="20"/>
      <c r="J1956" s="20"/>
      <c r="K1956" s="20"/>
      <c r="L1956" s="20"/>
      <c r="M1956" s="20"/>
      <c r="N1956" s="20"/>
      <c r="O1956" s="20"/>
      <c r="P1956" s="20"/>
      <c r="Q1956" s="20"/>
      <c r="R1956" s="20"/>
      <c r="S1956" s="20"/>
      <c r="T1956" s="20"/>
      <c r="U1956" s="20"/>
      <c r="V1956" s="20"/>
      <c r="W1956" s="20"/>
      <c r="X1956" s="20"/>
      <c r="Y1956" s="20"/>
    </row>
    <row r="1957" spans="1:25" x14ac:dyDescent="0.3">
      <c r="A1957" s="20"/>
      <c r="B1957" s="20"/>
      <c r="C1957" s="20"/>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row>
    <row r="1958" spans="1:25" x14ac:dyDescent="0.3">
      <c r="A1958" s="20"/>
      <c r="B1958" s="20"/>
      <c r="C1958" s="20"/>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row>
    <row r="1959" spans="1:25" x14ac:dyDescent="0.3">
      <c r="A1959" s="20"/>
      <c r="B1959" s="20"/>
      <c r="C1959" s="20"/>
      <c r="D1959" s="20"/>
      <c r="E1959" s="20"/>
      <c r="F1959" s="20"/>
      <c r="G1959" s="20"/>
      <c r="H1959" s="20"/>
      <c r="I1959" s="20"/>
      <c r="J1959" s="20"/>
      <c r="K1959" s="20"/>
      <c r="L1959" s="20"/>
      <c r="M1959" s="20"/>
      <c r="N1959" s="20"/>
      <c r="O1959" s="20"/>
      <c r="P1959" s="20"/>
      <c r="Q1959" s="20"/>
      <c r="R1959" s="20"/>
      <c r="S1959" s="20"/>
      <c r="T1959" s="20"/>
      <c r="U1959" s="20"/>
      <c r="V1959" s="20"/>
      <c r="W1959" s="20"/>
      <c r="X1959" s="20"/>
      <c r="Y1959" s="20"/>
    </row>
    <row r="1960" spans="1:25" x14ac:dyDescent="0.3">
      <c r="A1960" s="20"/>
      <c r="B1960" s="20"/>
      <c r="C1960" s="20"/>
      <c r="D1960" s="20"/>
      <c r="E1960" s="20"/>
      <c r="F1960" s="20"/>
      <c r="G1960" s="20"/>
      <c r="H1960" s="20"/>
      <c r="I1960" s="20"/>
      <c r="J1960" s="20"/>
      <c r="K1960" s="20"/>
      <c r="L1960" s="20"/>
      <c r="M1960" s="20"/>
      <c r="N1960" s="20"/>
      <c r="O1960" s="20"/>
      <c r="P1960" s="20"/>
      <c r="Q1960" s="20"/>
      <c r="R1960" s="20"/>
      <c r="S1960" s="20"/>
      <c r="T1960" s="20"/>
      <c r="U1960" s="20"/>
      <c r="V1960" s="20"/>
      <c r="W1960" s="20"/>
      <c r="X1960" s="20"/>
      <c r="Y1960" s="20"/>
    </row>
    <row r="1961" spans="1:25" x14ac:dyDescent="0.3">
      <c r="A1961" s="20"/>
      <c r="B1961" s="20"/>
      <c r="C1961" s="20"/>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row>
    <row r="1962" spans="1:25" x14ac:dyDescent="0.3">
      <c r="A1962" s="20"/>
      <c r="B1962" s="20"/>
      <c r="C1962" s="20"/>
      <c r="D1962" s="20"/>
      <c r="E1962" s="20"/>
      <c r="F1962" s="20"/>
      <c r="G1962" s="20"/>
      <c r="H1962" s="20"/>
      <c r="I1962" s="20"/>
      <c r="J1962" s="20"/>
      <c r="K1962" s="20"/>
      <c r="L1962" s="20"/>
      <c r="M1962" s="20"/>
      <c r="N1962" s="20"/>
      <c r="O1962" s="20"/>
      <c r="P1962" s="20"/>
      <c r="Q1962" s="20"/>
      <c r="R1962" s="20"/>
      <c r="S1962" s="20"/>
      <c r="T1962" s="20"/>
      <c r="U1962" s="20"/>
      <c r="V1962" s="20"/>
      <c r="W1962" s="20"/>
      <c r="X1962" s="20"/>
      <c r="Y1962" s="20"/>
    </row>
    <row r="1963" spans="1:25" x14ac:dyDescent="0.3">
      <c r="A1963" s="20"/>
      <c r="B1963" s="20"/>
      <c r="C1963" s="20"/>
      <c r="D1963" s="20"/>
      <c r="E1963" s="20"/>
      <c r="F1963" s="20"/>
      <c r="G1963" s="20"/>
      <c r="H1963" s="20"/>
      <c r="I1963" s="20"/>
      <c r="J1963" s="20"/>
      <c r="K1963" s="20"/>
      <c r="L1963" s="20"/>
      <c r="M1963" s="20"/>
      <c r="N1963" s="20"/>
      <c r="O1963" s="20"/>
      <c r="P1963" s="20"/>
      <c r="Q1963" s="20"/>
      <c r="R1963" s="20"/>
      <c r="S1963" s="20"/>
      <c r="T1963" s="20"/>
      <c r="U1963" s="20"/>
      <c r="V1963" s="20"/>
      <c r="W1963" s="20"/>
      <c r="X1963" s="20"/>
      <c r="Y1963" s="20"/>
    </row>
    <row r="1964" spans="1:25" x14ac:dyDescent="0.3">
      <c r="A1964" s="20"/>
      <c r="B1964" s="20"/>
      <c r="C1964" s="20"/>
      <c r="D1964" s="20"/>
      <c r="E1964" s="20"/>
      <c r="F1964" s="20"/>
      <c r="G1964" s="20"/>
      <c r="H1964" s="20"/>
      <c r="I1964" s="20"/>
      <c r="J1964" s="20"/>
      <c r="K1964" s="20"/>
      <c r="L1964" s="20"/>
      <c r="M1964" s="20"/>
      <c r="N1964" s="20"/>
      <c r="O1964" s="20"/>
      <c r="P1964" s="20"/>
      <c r="Q1964" s="20"/>
      <c r="R1964" s="20"/>
      <c r="S1964" s="20"/>
      <c r="T1964" s="20"/>
      <c r="U1964" s="20"/>
      <c r="V1964" s="20"/>
      <c r="W1964" s="20"/>
      <c r="X1964" s="20"/>
      <c r="Y1964" s="20"/>
    </row>
    <row r="1965" spans="1:25" x14ac:dyDescent="0.3">
      <c r="A1965" s="20"/>
      <c r="B1965" s="20"/>
      <c r="C1965" s="20"/>
      <c r="D1965" s="20"/>
      <c r="E1965" s="20"/>
      <c r="F1965" s="20"/>
      <c r="G1965" s="20"/>
      <c r="H1965" s="20"/>
      <c r="I1965" s="20"/>
      <c r="J1965" s="20"/>
      <c r="K1965" s="20"/>
      <c r="L1965" s="20"/>
      <c r="M1965" s="20"/>
      <c r="N1965" s="20"/>
      <c r="O1965" s="20"/>
      <c r="P1965" s="20"/>
      <c r="Q1965" s="20"/>
      <c r="R1965" s="20"/>
      <c r="S1965" s="20"/>
      <c r="T1965" s="20"/>
      <c r="U1965" s="20"/>
      <c r="V1965" s="20"/>
      <c r="W1965" s="20"/>
      <c r="X1965" s="20"/>
      <c r="Y1965" s="20"/>
    </row>
    <row r="1966" spans="1:25" x14ac:dyDescent="0.3">
      <c r="A1966" s="20"/>
      <c r="B1966" s="20"/>
      <c r="C1966" s="20"/>
      <c r="D1966" s="20"/>
      <c r="E1966" s="20"/>
      <c r="F1966" s="20"/>
      <c r="G1966" s="20"/>
      <c r="H1966" s="20"/>
      <c r="I1966" s="20"/>
      <c r="J1966" s="20"/>
      <c r="K1966" s="20"/>
      <c r="L1966" s="20"/>
      <c r="M1966" s="20"/>
      <c r="N1966" s="20"/>
      <c r="O1966" s="20"/>
      <c r="P1966" s="20"/>
      <c r="Q1966" s="20"/>
      <c r="R1966" s="20"/>
      <c r="S1966" s="20"/>
      <c r="T1966" s="20"/>
      <c r="U1966" s="20"/>
      <c r="V1966" s="20"/>
      <c r="W1966" s="20"/>
      <c r="X1966" s="20"/>
      <c r="Y1966" s="20"/>
    </row>
    <row r="1967" spans="1:25" x14ac:dyDescent="0.3">
      <c r="A1967" s="20"/>
      <c r="B1967" s="20"/>
      <c r="C1967" s="20"/>
      <c r="D1967" s="20"/>
      <c r="E1967" s="20"/>
      <c r="F1967" s="20"/>
      <c r="G1967" s="20"/>
      <c r="H1967" s="20"/>
      <c r="I1967" s="20"/>
      <c r="J1967" s="20"/>
      <c r="K1967" s="20"/>
      <c r="L1967" s="20"/>
      <c r="M1967" s="20"/>
      <c r="N1967" s="20"/>
      <c r="O1967" s="20"/>
      <c r="P1967" s="20"/>
      <c r="Q1967" s="20"/>
      <c r="R1967" s="20"/>
      <c r="S1967" s="20"/>
      <c r="T1967" s="20"/>
      <c r="U1967" s="20"/>
      <c r="V1967" s="20"/>
      <c r="W1967" s="20"/>
      <c r="X1967" s="20"/>
      <c r="Y1967" s="20"/>
    </row>
    <row r="1968" spans="1:25" x14ac:dyDescent="0.3">
      <c r="A1968" s="20"/>
      <c r="B1968" s="20"/>
      <c r="C1968" s="20"/>
      <c r="D1968" s="20"/>
      <c r="E1968" s="20"/>
      <c r="F1968" s="20"/>
      <c r="G1968" s="20"/>
      <c r="H1968" s="20"/>
      <c r="I1968" s="20"/>
      <c r="J1968" s="20"/>
      <c r="K1968" s="20"/>
      <c r="L1968" s="20"/>
      <c r="M1968" s="20"/>
      <c r="N1968" s="20"/>
      <c r="O1968" s="20"/>
      <c r="P1968" s="20"/>
      <c r="Q1968" s="20"/>
      <c r="R1968" s="20"/>
      <c r="S1968" s="20"/>
      <c r="T1968" s="20"/>
      <c r="U1968" s="20"/>
      <c r="V1968" s="20"/>
      <c r="W1968" s="20"/>
      <c r="X1968" s="20"/>
      <c r="Y1968" s="20"/>
    </row>
    <row r="1969" spans="1:25" x14ac:dyDescent="0.3">
      <c r="A1969" s="20"/>
      <c r="B1969" s="20"/>
      <c r="C1969" s="20"/>
      <c r="D1969" s="20"/>
      <c r="E1969" s="20"/>
      <c r="F1969" s="20"/>
      <c r="G1969" s="20"/>
      <c r="H1969" s="20"/>
      <c r="I1969" s="20"/>
      <c r="J1969" s="20"/>
      <c r="K1969" s="20"/>
      <c r="L1969" s="20"/>
      <c r="M1969" s="20"/>
      <c r="N1969" s="20"/>
      <c r="O1969" s="20"/>
      <c r="P1969" s="20"/>
      <c r="Q1969" s="20"/>
      <c r="R1969" s="20"/>
      <c r="S1969" s="20"/>
      <c r="T1969" s="20"/>
      <c r="U1969" s="20"/>
      <c r="V1969" s="20"/>
      <c r="W1969" s="20"/>
      <c r="X1969" s="20"/>
      <c r="Y1969" s="20"/>
    </row>
    <row r="1970" spans="1:25" x14ac:dyDescent="0.3">
      <c r="A1970" s="20"/>
      <c r="B1970" s="20"/>
      <c r="C1970" s="20"/>
      <c r="D1970" s="20"/>
      <c r="E1970" s="20"/>
      <c r="F1970" s="20"/>
      <c r="G1970" s="20"/>
      <c r="H1970" s="20"/>
      <c r="I1970" s="20"/>
      <c r="J1970" s="20"/>
      <c r="K1970" s="20"/>
      <c r="L1970" s="20"/>
      <c r="M1970" s="20"/>
      <c r="N1970" s="20"/>
      <c r="O1970" s="20"/>
      <c r="P1970" s="20"/>
      <c r="Q1970" s="20"/>
      <c r="R1970" s="20"/>
      <c r="S1970" s="20"/>
      <c r="T1970" s="20"/>
      <c r="U1970" s="20"/>
      <c r="V1970" s="20"/>
      <c r="W1970" s="20"/>
      <c r="X1970" s="20"/>
      <c r="Y1970" s="20"/>
    </row>
    <row r="1971" spans="1:25" x14ac:dyDescent="0.3">
      <c r="A1971" s="20"/>
      <c r="B1971" s="20"/>
      <c r="C1971" s="20"/>
      <c r="D1971" s="20"/>
      <c r="E1971" s="20"/>
      <c r="F1971" s="20"/>
      <c r="G1971" s="20"/>
      <c r="H1971" s="20"/>
      <c r="I1971" s="20"/>
      <c r="J1971" s="20"/>
      <c r="K1971" s="20"/>
      <c r="L1971" s="20"/>
      <c r="M1971" s="20"/>
      <c r="N1971" s="20"/>
      <c r="O1971" s="20"/>
      <c r="P1971" s="20"/>
      <c r="Q1971" s="20"/>
      <c r="R1971" s="20"/>
      <c r="S1971" s="20"/>
      <c r="T1971" s="20"/>
      <c r="U1971" s="20"/>
      <c r="V1971" s="20"/>
      <c r="W1971" s="20"/>
      <c r="X1971" s="20"/>
      <c r="Y1971" s="20"/>
    </row>
    <row r="1972" spans="1:25" x14ac:dyDescent="0.3">
      <c r="A1972" s="20"/>
      <c r="B1972" s="20"/>
      <c r="C1972" s="20"/>
      <c r="D1972" s="20"/>
      <c r="E1972" s="20"/>
      <c r="F1972" s="20"/>
      <c r="G1972" s="20"/>
      <c r="H1972" s="20"/>
      <c r="I1972" s="20"/>
      <c r="J1972" s="20"/>
      <c r="K1972" s="20"/>
      <c r="L1972" s="20"/>
      <c r="M1972" s="20"/>
      <c r="N1972" s="20"/>
      <c r="O1972" s="20"/>
      <c r="P1972" s="20"/>
      <c r="Q1972" s="20"/>
      <c r="R1972" s="20"/>
      <c r="S1972" s="20"/>
      <c r="T1972" s="20"/>
      <c r="U1972" s="20"/>
      <c r="V1972" s="20"/>
      <c r="W1972" s="20"/>
      <c r="X1972" s="20"/>
      <c r="Y1972" s="20"/>
    </row>
    <row r="1973" spans="1:25" x14ac:dyDescent="0.3">
      <c r="A1973" s="20"/>
      <c r="B1973" s="20"/>
      <c r="C1973" s="20"/>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row>
    <row r="1974" spans="1:25" x14ac:dyDescent="0.3">
      <c r="A1974" s="20"/>
      <c r="B1974" s="20"/>
      <c r="C1974" s="20"/>
      <c r="D1974" s="20"/>
      <c r="E1974" s="20"/>
      <c r="F1974" s="20"/>
      <c r="G1974" s="20"/>
      <c r="H1974" s="20"/>
      <c r="I1974" s="20"/>
      <c r="J1974" s="20"/>
      <c r="K1974" s="20"/>
      <c r="L1974" s="20"/>
      <c r="M1974" s="20"/>
      <c r="N1974" s="20"/>
      <c r="O1974" s="20"/>
      <c r="P1974" s="20"/>
      <c r="Q1974" s="20"/>
      <c r="R1974" s="20"/>
      <c r="S1974" s="20"/>
      <c r="T1974" s="20"/>
      <c r="U1974" s="20"/>
      <c r="V1974" s="20"/>
      <c r="W1974" s="20"/>
      <c r="X1974" s="20"/>
      <c r="Y1974" s="20"/>
    </row>
    <row r="1975" spans="1:25" x14ac:dyDescent="0.3">
      <c r="A1975" s="20"/>
      <c r="B1975" s="20"/>
      <c r="C1975" s="20"/>
      <c r="D1975" s="20"/>
      <c r="E1975" s="20"/>
      <c r="F1975" s="20"/>
      <c r="G1975" s="20"/>
      <c r="H1975" s="20"/>
      <c r="I1975" s="20"/>
      <c r="J1975" s="20"/>
      <c r="K1975" s="20"/>
      <c r="L1975" s="20"/>
      <c r="M1975" s="20"/>
      <c r="N1975" s="20"/>
      <c r="O1975" s="20"/>
      <c r="P1975" s="20"/>
      <c r="Q1975" s="20"/>
      <c r="R1975" s="20"/>
      <c r="S1975" s="20"/>
      <c r="T1975" s="20"/>
      <c r="U1975" s="20"/>
      <c r="V1975" s="20"/>
      <c r="W1975" s="20"/>
      <c r="X1975" s="20"/>
      <c r="Y1975" s="20"/>
    </row>
    <row r="1976" spans="1:25" x14ac:dyDescent="0.3">
      <c r="A1976" s="20"/>
      <c r="B1976" s="20"/>
      <c r="C1976" s="20"/>
      <c r="D1976" s="20"/>
      <c r="E1976" s="20"/>
      <c r="F1976" s="20"/>
      <c r="G1976" s="20"/>
      <c r="H1976" s="20"/>
      <c r="I1976" s="20"/>
      <c r="J1976" s="20"/>
      <c r="K1976" s="20"/>
      <c r="L1976" s="20"/>
      <c r="M1976" s="20"/>
      <c r="N1976" s="20"/>
      <c r="O1976" s="20"/>
      <c r="P1976" s="20"/>
      <c r="Q1976" s="20"/>
      <c r="R1976" s="20"/>
      <c r="S1976" s="20"/>
      <c r="T1976" s="20"/>
      <c r="U1976" s="20"/>
      <c r="V1976" s="20"/>
      <c r="W1976" s="20"/>
      <c r="X1976" s="20"/>
      <c r="Y1976" s="20"/>
    </row>
    <row r="1977" spans="1:25" x14ac:dyDescent="0.3">
      <c r="A1977" s="20"/>
      <c r="B1977" s="20"/>
      <c r="C1977" s="20"/>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row>
    <row r="1978" spans="1:25" x14ac:dyDescent="0.3">
      <c r="A1978" s="20"/>
      <c r="B1978" s="20"/>
      <c r="C1978" s="20"/>
      <c r="D1978" s="20"/>
      <c r="E1978" s="20"/>
      <c r="F1978" s="20"/>
      <c r="G1978" s="20"/>
      <c r="H1978" s="20"/>
      <c r="I1978" s="20"/>
      <c r="J1978" s="20"/>
      <c r="K1978" s="20"/>
      <c r="L1978" s="20"/>
      <c r="M1978" s="20"/>
      <c r="N1978" s="20"/>
      <c r="O1978" s="20"/>
      <c r="P1978" s="20"/>
      <c r="Q1978" s="20"/>
      <c r="R1978" s="20"/>
      <c r="S1978" s="20"/>
      <c r="T1978" s="20"/>
      <c r="U1978" s="20"/>
      <c r="V1978" s="20"/>
      <c r="W1978" s="20"/>
      <c r="X1978" s="20"/>
      <c r="Y1978" s="20"/>
    </row>
    <row r="1979" spans="1:25" x14ac:dyDescent="0.3">
      <c r="A1979" s="20"/>
      <c r="B1979" s="20"/>
      <c r="C1979" s="20"/>
      <c r="D1979" s="20"/>
      <c r="E1979" s="20"/>
      <c r="F1979" s="20"/>
      <c r="G1979" s="20"/>
      <c r="H1979" s="20"/>
      <c r="I1979" s="20"/>
      <c r="J1979" s="20"/>
      <c r="K1979" s="20"/>
      <c r="L1979" s="20"/>
      <c r="M1979" s="20"/>
      <c r="N1979" s="20"/>
      <c r="O1979" s="20"/>
      <c r="P1979" s="20"/>
      <c r="Q1979" s="20"/>
      <c r="R1979" s="20"/>
      <c r="S1979" s="20"/>
      <c r="T1979" s="20"/>
      <c r="U1979" s="20"/>
      <c r="V1979" s="20"/>
      <c r="W1979" s="20"/>
      <c r="X1979" s="20"/>
      <c r="Y1979" s="20"/>
    </row>
    <row r="1980" spans="1:25" x14ac:dyDescent="0.3">
      <c r="A1980" s="20"/>
      <c r="B1980" s="20"/>
      <c r="C1980" s="20"/>
      <c r="D1980" s="20"/>
      <c r="E1980" s="20"/>
      <c r="F1980" s="20"/>
      <c r="G1980" s="20"/>
      <c r="H1980" s="20"/>
      <c r="I1980" s="20"/>
      <c r="J1980" s="20"/>
      <c r="K1980" s="20"/>
      <c r="L1980" s="20"/>
      <c r="M1980" s="20"/>
      <c r="N1980" s="20"/>
      <c r="O1980" s="20"/>
      <c r="P1980" s="20"/>
      <c r="Q1980" s="20"/>
      <c r="R1980" s="20"/>
      <c r="S1980" s="20"/>
      <c r="T1980" s="20"/>
      <c r="U1980" s="20"/>
      <c r="V1980" s="20"/>
      <c r="W1980" s="20"/>
      <c r="X1980" s="20"/>
      <c r="Y1980" s="20"/>
    </row>
    <row r="1981" spans="1:25" x14ac:dyDescent="0.3">
      <c r="A1981" s="20"/>
      <c r="B1981" s="20"/>
      <c r="C1981" s="20"/>
      <c r="D1981" s="20"/>
      <c r="E1981" s="20"/>
      <c r="F1981" s="20"/>
      <c r="G1981" s="20"/>
      <c r="H1981" s="20"/>
      <c r="I1981" s="20"/>
      <c r="J1981" s="20"/>
      <c r="K1981" s="20"/>
      <c r="L1981" s="20"/>
      <c r="M1981" s="20"/>
      <c r="N1981" s="20"/>
      <c r="O1981" s="20"/>
      <c r="P1981" s="20"/>
      <c r="Q1981" s="20"/>
      <c r="R1981" s="20"/>
      <c r="S1981" s="20"/>
      <c r="T1981" s="20"/>
      <c r="U1981" s="20"/>
      <c r="V1981" s="20"/>
      <c r="W1981" s="20"/>
      <c r="X1981" s="20"/>
      <c r="Y1981" s="20"/>
    </row>
    <row r="1982" spans="1:25" x14ac:dyDescent="0.3">
      <c r="A1982" s="20"/>
      <c r="B1982" s="20"/>
      <c r="C1982" s="20"/>
      <c r="D1982" s="20"/>
      <c r="E1982" s="20"/>
      <c r="F1982" s="20"/>
      <c r="G1982" s="20"/>
      <c r="H1982" s="20"/>
      <c r="I1982" s="20"/>
      <c r="J1982" s="20"/>
      <c r="K1982" s="20"/>
      <c r="L1982" s="20"/>
      <c r="M1982" s="20"/>
      <c r="N1982" s="20"/>
      <c r="O1982" s="20"/>
      <c r="P1982" s="20"/>
      <c r="Q1982" s="20"/>
      <c r="R1982" s="20"/>
      <c r="S1982" s="20"/>
      <c r="T1982" s="20"/>
      <c r="U1982" s="20"/>
      <c r="V1982" s="20"/>
      <c r="W1982" s="20"/>
      <c r="X1982" s="20"/>
      <c r="Y1982" s="20"/>
    </row>
    <row r="1983" spans="1:25" x14ac:dyDescent="0.3">
      <c r="A1983" s="20"/>
      <c r="B1983" s="20"/>
      <c r="C1983" s="20"/>
      <c r="D1983" s="20"/>
      <c r="E1983" s="20"/>
      <c r="F1983" s="20"/>
      <c r="G1983" s="20"/>
      <c r="H1983" s="20"/>
      <c r="I1983" s="20"/>
      <c r="J1983" s="20"/>
      <c r="K1983" s="20"/>
      <c r="L1983" s="20"/>
      <c r="M1983" s="20"/>
      <c r="N1983" s="20"/>
      <c r="O1983" s="20"/>
      <c r="P1983" s="20"/>
      <c r="Q1983" s="20"/>
      <c r="R1983" s="20"/>
      <c r="S1983" s="20"/>
      <c r="T1983" s="20"/>
      <c r="U1983" s="20"/>
      <c r="V1983" s="20"/>
      <c r="W1983" s="20"/>
      <c r="X1983" s="20"/>
      <c r="Y1983" s="20"/>
    </row>
    <row r="1984" spans="1:25" x14ac:dyDescent="0.3">
      <c r="A1984" s="20"/>
      <c r="B1984" s="20"/>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row>
    <row r="1985" spans="1:25" x14ac:dyDescent="0.3">
      <c r="A1985" s="20"/>
      <c r="B1985" s="20"/>
      <c r="C1985" s="20"/>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row>
    <row r="1986" spans="1:25" x14ac:dyDescent="0.3">
      <c r="A1986" s="20"/>
      <c r="B1986" s="20"/>
      <c r="C1986" s="20"/>
      <c r="D1986" s="20"/>
      <c r="E1986" s="20"/>
      <c r="F1986" s="20"/>
      <c r="G1986" s="20"/>
      <c r="H1986" s="20"/>
      <c r="I1986" s="20"/>
      <c r="J1986" s="20"/>
      <c r="K1986" s="20"/>
      <c r="L1986" s="20"/>
      <c r="M1986" s="20"/>
      <c r="N1986" s="20"/>
      <c r="O1986" s="20"/>
      <c r="P1986" s="20"/>
      <c r="Q1986" s="20"/>
      <c r="R1986" s="20"/>
      <c r="S1986" s="20"/>
      <c r="T1986" s="20"/>
      <c r="U1986" s="20"/>
      <c r="V1986" s="20"/>
      <c r="W1986" s="20"/>
      <c r="X1986" s="20"/>
      <c r="Y1986" s="20"/>
    </row>
    <row r="1987" spans="1:25" x14ac:dyDescent="0.3">
      <c r="A1987" s="20"/>
      <c r="B1987" s="20"/>
      <c r="C1987" s="20"/>
      <c r="D1987" s="20"/>
      <c r="E1987" s="20"/>
      <c r="F1987" s="20"/>
      <c r="G1987" s="20"/>
      <c r="H1987" s="20"/>
      <c r="I1987" s="20"/>
      <c r="J1987" s="20"/>
      <c r="K1987" s="20"/>
      <c r="L1987" s="20"/>
      <c r="M1987" s="20"/>
      <c r="N1987" s="20"/>
      <c r="O1987" s="20"/>
      <c r="P1987" s="20"/>
      <c r="Q1987" s="20"/>
      <c r="R1987" s="20"/>
      <c r="S1987" s="20"/>
      <c r="T1987" s="20"/>
      <c r="U1987" s="20"/>
      <c r="V1987" s="20"/>
      <c r="W1987" s="20"/>
      <c r="X1987" s="20"/>
      <c r="Y1987" s="20"/>
    </row>
    <row r="1988" spans="1:25" x14ac:dyDescent="0.3">
      <c r="A1988" s="20"/>
      <c r="B1988" s="20"/>
      <c r="C1988" s="20"/>
      <c r="D1988" s="20"/>
      <c r="E1988" s="20"/>
      <c r="F1988" s="20"/>
      <c r="G1988" s="20"/>
      <c r="H1988" s="20"/>
      <c r="I1988" s="20"/>
      <c r="J1988" s="20"/>
      <c r="K1988" s="20"/>
      <c r="L1988" s="20"/>
      <c r="M1988" s="20"/>
      <c r="N1988" s="20"/>
      <c r="O1988" s="20"/>
      <c r="P1988" s="20"/>
      <c r="Q1988" s="20"/>
      <c r="R1988" s="20"/>
      <c r="S1988" s="20"/>
      <c r="T1988" s="20"/>
      <c r="U1988" s="20"/>
      <c r="V1988" s="20"/>
      <c r="W1988" s="20"/>
      <c r="X1988" s="20"/>
      <c r="Y1988" s="20"/>
    </row>
    <row r="1989" spans="1:25" x14ac:dyDescent="0.3">
      <c r="A1989" s="20"/>
      <c r="B1989" s="20"/>
      <c r="C1989" s="20"/>
      <c r="D1989" s="20"/>
      <c r="E1989" s="20"/>
      <c r="F1989" s="20"/>
      <c r="G1989" s="20"/>
      <c r="H1989" s="20"/>
      <c r="I1989" s="20"/>
      <c r="J1989" s="20"/>
      <c r="K1989" s="20"/>
      <c r="L1989" s="20"/>
      <c r="M1989" s="20"/>
      <c r="N1989" s="20"/>
      <c r="O1989" s="20"/>
      <c r="P1989" s="20"/>
      <c r="Q1989" s="20"/>
      <c r="R1989" s="20"/>
      <c r="S1989" s="20"/>
      <c r="T1989" s="20"/>
      <c r="U1989" s="20"/>
      <c r="V1989" s="20"/>
      <c r="W1989" s="20"/>
      <c r="X1989" s="20"/>
      <c r="Y1989" s="20"/>
    </row>
    <row r="1990" spans="1:25" x14ac:dyDescent="0.3">
      <c r="A1990" s="20"/>
      <c r="B1990" s="20"/>
      <c r="C1990" s="20"/>
      <c r="D1990" s="20"/>
      <c r="E1990" s="20"/>
      <c r="F1990" s="20"/>
      <c r="G1990" s="20"/>
      <c r="H1990" s="20"/>
      <c r="I1990" s="20"/>
      <c r="J1990" s="20"/>
      <c r="K1990" s="20"/>
      <c r="L1990" s="20"/>
      <c r="M1990" s="20"/>
      <c r="N1990" s="20"/>
      <c r="O1990" s="20"/>
      <c r="P1990" s="20"/>
      <c r="Q1990" s="20"/>
      <c r="R1990" s="20"/>
      <c r="S1990" s="20"/>
      <c r="T1990" s="20"/>
      <c r="U1990" s="20"/>
      <c r="V1990" s="20"/>
      <c r="W1990" s="20"/>
      <c r="X1990" s="20"/>
      <c r="Y1990" s="20"/>
    </row>
    <row r="1991" spans="1:25" x14ac:dyDescent="0.3">
      <c r="A1991" s="20"/>
      <c r="B1991" s="20"/>
      <c r="C1991" s="20"/>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row>
    <row r="1992" spans="1:25" x14ac:dyDescent="0.3">
      <c r="A1992" s="20"/>
      <c r="B1992" s="20"/>
      <c r="C1992" s="20"/>
      <c r="D1992" s="20"/>
      <c r="E1992" s="20"/>
      <c r="F1992" s="20"/>
      <c r="G1992" s="20"/>
      <c r="H1992" s="20"/>
      <c r="I1992" s="20"/>
      <c r="J1992" s="20"/>
      <c r="K1992" s="20"/>
      <c r="L1992" s="20"/>
      <c r="M1992" s="20"/>
      <c r="N1992" s="20"/>
      <c r="O1992" s="20"/>
      <c r="P1992" s="20"/>
      <c r="Q1992" s="20"/>
      <c r="R1992" s="20"/>
      <c r="S1992" s="20"/>
      <c r="T1992" s="20"/>
      <c r="U1992" s="20"/>
      <c r="V1992" s="20"/>
      <c r="W1992" s="20"/>
      <c r="X1992" s="20"/>
      <c r="Y1992" s="20"/>
    </row>
    <row r="1993" spans="1:25" x14ac:dyDescent="0.3">
      <c r="A1993" s="20"/>
      <c r="B1993" s="20"/>
      <c r="C1993" s="20"/>
      <c r="D1993" s="20"/>
      <c r="E1993" s="20"/>
      <c r="F1993" s="20"/>
      <c r="G1993" s="20"/>
      <c r="H1993" s="20"/>
      <c r="I1993" s="20"/>
      <c r="J1993" s="20"/>
      <c r="K1993" s="20"/>
      <c r="L1993" s="20"/>
      <c r="M1993" s="20"/>
      <c r="N1993" s="20"/>
      <c r="O1993" s="20"/>
      <c r="P1993" s="20"/>
      <c r="Q1993" s="20"/>
      <c r="R1993" s="20"/>
      <c r="S1993" s="20"/>
      <c r="T1993" s="20"/>
      <c r="U1993" s="20"/>
      <c r="V1993" s="20"/>
      <c r="W1993" s="20"/>
      <c r="X1993" s="20"/>
      <c r="Y1993" s="20"/>
    </row>
    <row r="1994" spans="1:25" x14ac:dyDescent="0.3">
      <c r="A1994" s="20"/>
      <c r="B1994" s="20"/>
      <c r="C1994" s="20"/>
      <c r="D1994" s="20"/>
      <c r="E1994" s="20"/>
      <c r="F1994" s="20"/>
      <c r="G1994" s="20"/>
      <c r="H1994" s="20"/>
      <c r="I1994" s="20"/>
      <c r="J1994" s="20"/>
      <c r="K1994" s="20"/>
      <c r="L1994" s="20"/>
      <c r="M1994" s="20"/>
      <c r="N1994" s="20"/>
      <c r="O1994" s="20"/>
      <c r="P1994" s="20"/>
      <c r="Q1994" s="20"/>
      <c r="R1994" s="20"/>
      <c r="S1994" s="20"/>
      <c r="T1994" s="20"/>
      <c r="U1994" s="20"/>
      <c r="V1994" s="20"/>
      <c r="W1994" s="20"/>
      <c r="X1994" s="20"/>
      <c r="Y1994" s="20"/>
    </row>
    <row r="1995" spans="1:25" x14ac:dyDescent="0.3">
      <c r="A1995" s="20"/>
      <c r="B1995" s="20"/>
      <c r="C1995" s="20"/>
      <c r="D1995" s="20"/>
      <c r="E1995" s="20"/>
      <c r="F1995" s="20"/>
      <c r="G1995" s="20"/>
      <c r="H1995" s="20"/>
      <c r="I1995" s="20"/>
      <c r="J1995" s="20"/>
      <c r="K1995" s="20"/>
      <c r="L1995" s="20"/>
      <c r="M1995" s="20"/>
      <c r="N1995" s="20"/>
      <c r="O1995" s="20"/>
      <c r="P1995" s="20"/>
      <c r="Q1995" s="20"/>
      <c r="R1995" s="20"/>
      <c r="S1995" s="20"/>
      <c r="T1995" s="20"/>
      <c r="U1995" s="20"/>
      <c r="V1995" s="20"/>
      <c r="W1995" s="20"/>
      <c r="X1995" s="20"/>
      <c r="Y1995" s="20"/>
    </row>
    <row r="1996" spans="1:25" x14ac:dyDescent="0.3">
      <c r="A1996" s="20"/>
      <c r="B1996" s="20"/>
      <c r="C1996" s="20"/>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row>
    <row r="1997" spans="1:25" x14ac:dyDescent="0.3">
      <c r="A1997" s="20"/>
      <c r="B1997" s="20"/>
      <c r="C1997" s="20"/>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row>
    <row r="1998" spans="1:25" x14ac:dyDescent="0.3">
      <c r="A1998" s="20"/>
      <c r="B1998" s="20"/>
      <c r="C1998" s="20"/>
      <c r="D1998" s="20"/>
      <c r="E1998" s="20"/>
      <c r="F1998" s="20"/>
      <c r="G1998" s="20"/>
      <c r="H1998" s="20"/>
      <c r="I1998" s="20"/>
      <c r="J1998" s="20"/>
      <c r="K1998" s="20"/>
      <c r="L1998" s="20"/>
      <c r="M1998" s="20"/>
      <c r="N1998" s="20"/>
      <c r="O1998" s="20"/>
      <c r="P1998" s="20"/>
      <c r="Q1998" s="20"/>
      <c r="R1998" s="20"/>
      <c r="S1998" s="20"/>
      <c r="T1998" s="20"/>
      <c r="U1998" s="20"/>
      <c r="V1998" s="20"/>
      <c r="W1998" s="20"/>
      <c r="X1998" s="20"/>
      <c r="Y1998" s="20"/>
    </row>
    <row r="1999" spans="1:25" x14ac:dyDescent="0.3">
      <c r="A1999" s="20"/>
      <c r="B1999" s="20"/>
      <c r="C1999" s="20"/>
      <c r="D1999" s="20"/>
      <c r="E1999" s="20"/>
      <c r="F1999" s="20"/>
      <c r="G1999" s="20"/>
      <c r="H1999" s="20"/>
      <c r="I1999" s="20"/>
      <c r="J1999" s="20"/>
      <c r="K1999" s="20"/>
      <c r="L1999" s="20"/>
      <c r="M1999" s="20"/>
      <c r="N1999" s="20"/>
      <c r="O1999" s="20"/>
      <c r="P1999" s="20"/>
      <c r="Q1999" s="20"/>
      <c r="R1999" s="20"/>
      <c r="S1999" s="20"/>
      <c r="T1999" s="20"/>
      <c r="U1999" s="20"/>
      <c r="V1999" s="20"/>
      <c r="W1999" s="20"/>
      <c r="X1999" s="20"/>
      <c r="Y1999" s="20"/>
    </row>
    <row r="2000" spans="1:25" x14ac:dyDescent="0.3">
      <c r="A2000" s="20"/>
      <c r="B2000" s="20"/>
      <c r="C2000" s="20"/>
      <c r="D2000" s="20"/>
      <c r="E2000" s="20"/>
      <c r="F2000" s="20"/>
      <c r="G2000" s="20"/>
      <c r="H2000" s="20"/>
      <c r="I2000" s="20"/>
      <c r="J2000" s="20"/>
      <c r="K2000" s="20"/>
      <c r="L2000" s="20"/>
      <c r="M2000" s="20"/>
      <c r="N2000" s="20"/>
      <c r="O2000" s="20"/>
      <c r="P2000" s="20"/>
      <c r="Q2000" s="20"/>
      <c r="R2000" s="20"/>
      <c r="S2000" s="20"/>
      <c r="T2000" s="20"/>
      <c r="U2000" s="20"/>
      <c r="V2000" s="20"/>
      <c r="W2000" s="20"/>
      <c r="X2000" s="20"/>
      <c r="Y2000" s="20"/>
    </row>
    <row r="2001" spans="1:25" x14ac:dyDescent="0.3">
      <c r="A2001" s="20"/>
      <c r="B2001" s="20"/>
      <c r="C2001" s="20"/>
      <c r="D2001" s="20"/>
      <c r="E2001" s="20"/>
      <c r="F2001" s="20"/>
      <c r="G2001" s="20"/>
      <c r="H2001" s="20"/>
      <c r="I2001" s="20"/>
      <c r="J2001" s="20"/>
      <c r="K2001" s="20"/>
      <c r="L2001" s="20"/>
      <c r="M2001" s="20"/>
      <c r="N2001" s="20"/>
      <c r="O2001" s="20"/>
      <c r="P2001" s="20"/>
      <c r="Q2001" s="20"/>
      <c r="R2001" s="20"/>
      <c r="S2001" s="20"/>
      <c r="T2001" s="20"/>
      <c r="U2001" s="20"/>
      <c r="V2001" s="20"/>
      <c r="W2001" s="20"/>
      <c r="X2001" s="20"/>
      <c r="Y2001" s="20"/>
    </row>
    <row r="2002" spans="1:25" x14ac:dyDescent="0.3">
      <c r="A2002" s="20"/>
      <c r="B2002" s="20"/>
      <c r="C2002" s="20"/>
      <c r="D2002" s="20"/>
      <c r="E2002" s="20"/>
      <c r="F2002" s="20"/>
      <c r="G2002" s="20"/>
      <c r="H2002" s="20"/>
      <c r="I2002" s="20"/>
      <c r="J2002" s="20"/>
      <c r="K2002" s="20"/>
      <c r="L2002" s="20"/>
      <c r="M2002" s="20"/>
      <c r="N2002" s="20"/>
      <c r="O2002" s="20"/>
      <c r="P2002" s="20"/>
      <c r="Q2002" s="20"/>
      <c r="R2002" s="20"/>
      <c r="S2002" s="20"/>
      <c r="T2002" s="20"/>
      <c r="U2002" s="20"/>
      <c r="V2002" s="20"/>
      <c r="W2002" s="20"/>
      <c r="X2002" s="20"/>
      <c r="Y2002" s="20"/>
    </row>
    <row r="2003" spans="1:25" x14ac:dyDescent="0.3">
      <c r="A2003" s="20"/>
      <c r="B2003" s="20"/>
      <c r="C2003" s="20"/>
      <c r="D2003" s="20"/>
      <c r="E2003" s="20"/>
      <c r="F2003" s="20"/>
      <c r="G2003" s="20"/>
      <c r="H2003" s="20"/>
      <c r="I2003" s="20"/>
      <c r="J2003" s="20"/>
      <c r="K2003" s="20"/>
      <c r="L2003" s="20"/>
      <c r="M2003" s="20"/>
      <c r="N2003" s="20"/>
      <c r="O2003" s="20"/>
      <c r="P2003" s="20"/>
      <c r="Q2003" s="20"/>
      <c r="R2003" s="20"/>
      <c r="S2003" s="20"/>
      <c r="T2003" s="20"/>
      <c r="U2003" s="20"/>
      <c r="V2003" s="20"/>
      <c r="W2003" s="20"/>
      <c r="X2003" s="20"/>
      <c r="Y2003" s="20"/>
    </row>
    <row r="2004" spans="1:25" x14ac:dyDescent="0.3">
      <c r="A2004" s="20"/>
      <c r="B2004" s="20"/>
      <c r="C2004" s="20"/>
      <c r="D2004" s="20"/>
      <c r="E2004" s="20"/>
      <c r="F2004" s="20"/>
      <c r="G2004" s="20"/>
      <c r="H2004" s="20"/>
      <c r="I2004" s="20"/>
      <c r="J2004" s="20"/>
      <c r="K2004" s="20"/>
      <c r="L2004" s="20"/>
      <c r="M2004" s="20"/>
      <c r="N2004" s="20"/>
      <c r="O2004" s="20"/>
      <c r="P2004" s="20"/>
      <c r="Q2004" s="20"/>
      <c r="R2004" s="20"/>
      <c r="S2004" s="20"/>
      <c r="T2004" s="20"/>
      <c r="U2004" s="20"/>
      <c r="V2004" s="20"/>
      <c r="W2004" s="20"/>
      <c r="X2004" s="20"/>
      <c r="Y2004" s="20"/>
    </row>
    <row r="2005" spans="1:25" x14ac:dyDescent="0.3">
      <c r="A2005" s="20"/>
      <c r="B2005" s="20"/>
      <c r="C2005" s="20"/>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row>
    <row r="2006" spans="1:25" x14ac:dyDescent="0.3">
      <c r="A2006" s="20"/>
      <c r="B2006" s="20"/>
      <c r="C2006" s="20"/>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row>
    <row r="2007" spans="1:25" x14ac:dyDescent="0.3">
      <c r="A2007" s="20"/>
      <c r="B2007" s="20"/>
      <c r="C2007" s="20"/>
      <c r="D2007" s="20"/>
      <c r="E2007" s="20"/>
      <c r="F2007" s="20"/>
      <c r="G2007" s="20"/>
      <c r="H2007" s="20"/>
      <c r="I2007" s="20"/>
      <c r="J2007" s="20"/>
      <c r="K2007" s="20"/>
      <c r="L2007" s="20"/>
      <c r="M2007" s="20"/>
      <c r="N2007" s="20"/>
      <c r="O2007" s="20"/>
      <c r="P2007" s="20"/>
      <c r="Q2007" s="20"/>
      <c r="R2007" s="20"/>
      <c r="S2007" s="20"/>
      <c r="T2007" s="20"/>
      <c r="U2007" s="20"/>
      <c r="V2007" s="20"/>
      <c r="W2007" s="20"/>
      <c r="X2007" s="20"/>
      <c r="Y2007" s="20"/>
    </row>
    <row r="2008" spans="1:25" x14ac:dyDescent="0.3">
      <c r="A2008" s="20"/>
      <c r="B2008" s="20"/>
      <c r="C2008" s="20"/>
      <c r="D2008" s="20"/>
      <c r="E2008" s="20"/>
      <c r="F2008" s="20"/>
      <c r="G2008" s="20"/>
      <c r="H2008" s="20"/>
      <c r="I2008" s="20"/>
      <c r="J2008" s="20"/>
      <c r="K2008" s="20"/>
      <c r="L2008" s="20"/>
      <c r="M2008" s="20"/>
      <c r="N2008" s="20"/>
      <c r="O2008" s="20"/>
      <c r="P2008" s="20"/>
      <c r="Q2008" s="20"/>
      <c r="R2008" s="20"/>
      <c r="S2008" s="20"/>
      <c r="T2008" s="20"/>
      <c r="U2008" s="20"/>
      <c r="V2008" s="20"/>
      <c r="W2008" s="20"/>
      <c r="X2008" s="20"/>
      <c r="Y2008" s="20"/>
    </row>
    <row r="2009" spans="1:25" x14ac:dyDescent="0.3">
      <c r="A2009" s="20"/>
      <c r="B2009" s="20"/>
      <c r="C2009" s="20"/>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row>
    <row r="2010" spans="1:25" x14ac:dyDescent="0.3">
      <c r="A2010" s="20"/>
      <c r="B2010" s="20"/>
      <c r="C2010" s="20"/>
      <c r="D2010" s="20"/>
      <c r="E2010" s="20"/>
      <c r="F2010" s="20"/>
      <c r="G2010" s="20"/>
      <c r="H2010" s="20"/>
      <c r="I2010" s="20"/>
      <c r="J2010" s="20"/>
      <c r="K2010" s="20"/>
      <c r="L2010" s="20"/>
      <c r="M2010" s="20"/>
      <c r="N2010" s="20"/>
      <c r="O2010" s="20"/>
      <c r="P2010" s="20"/>
      <c r="Q2010" s="20"/>
      <c r="R2010" s="20"/>
      <c r="S2010" s="20"/>
      <c r="T2010" s="20"/>
      <c r="U2010" s="20"/>
      <c r="V2010" s="20"/>
      <c r="W2010" s="20"/>
      <c r="X2010" s="20"/>
      <c r="Y2010" s="20"/>
    </row>
    <row r="2011" spans="1:25" x14ac:dyDescent="0.3">
      <c r="A2011" s="20"/>
      <c r="B2011" s="20"/>
      <c r="C2011" s="20"/>
      <c r="D2011" s="20"/>
      <c r="E2011" s="20"/>
      <c r="F2011" s="20"/>
      <c r="G2011" s="20"/>
      <c r="H2011" s="20"/>
      <c r="I2011" s="20"/>
      <c r="J2011" s="20"/>
      <c r="K2011" s="20"/>
      <c r="L2011" s="20"/>
      <c r="M2011" s="20"/>
      <c r="N2011" s="20"/>
      <c r="O2011" s="20"/>
      <c r="P2011" s="20"/>
      <c r="Q2011" s="20"/>
      <c r="R2011" s="20"/>
      <c r="S2011" s="20"/>
      <c r="T2011" s="20"/>
      <c r="U2011" s="20"/>
      <c r="V2011" s="20"/>
      <c r="W2011" s="20"/>
      <c r="X2011" s="20"/>
      <c r="Y2011" s="20"/>
    </row>
    <row r="2012" spans="1:25" x14ac:dyDescent="0.3">
      <c r="A2012" s="20"/>
      <c r="B2012" s="20"/>
      <c r="C2012" s="20"/>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row>
    <row r="2013" spans="1:25" x14ac:dyDescent="0.3">
      <c r="A2013" s="20"/>
      <c r="B2013" s="20"/>
      <c r="C2013" s="20"/>
      <c r="D2013" s="20"/>
      <c r="E2013" s="20"/>
      <c r="F2013" s="20"/>
      <c r="G2013" s="20"/>
      <c r="H2013" s="20"/>
      <c r="I2013" s="20"/>
      <c r="J2013" s="20"/>
      <c r="K2013" s="20"/>
      <c r="L2013" s="20"/>
      <c r="M2013" s="20"/>
      <c r="N2013" s="20"/>
      <c r="O2013" s="20"/>
      <c r="P2013" s="20"/>
      <c r="Q2013" s="20"/>
      <c r="R2013" s="20"/>
      <c r="S2013" s="20"/>
      <c r="T2013" s="20"/>
      <c r="U2013" s="20"/>
      <c r="V2013" s="20"/>
      <c r="W2013" s="20"/>
      <c r="X2013" s="20"/>
      <c r="Y2013" s="20"/>
    </row>
    <row r="2014" spans="1:25" x14ac:dyDescent="0.3">
      <c r="A2014" s="20"/>
      <c r="B2014" s="20"/>
      <c r="C2014" s="20"/>
      <c r="D2014" s="20"/>
      <c r="E2014" s="20"/>
      <c r="F2014" s="20"/>
      <c r="G2014" s="20"/>
      <c r="H2014" s="20"/>
      <c r="I2014" s="20"/>
      <c r="J2014" s="20"/>
      <c r="K2014" s="20"/>
      <c r="L2014" s="20"/>
      <c r="M2014" s="20"/>
      <c r="N2014" s="20"/>
      <c r="O2014" s="20"/>
      <c r="P2014" s="20"/>
      <c r="Q2014" s="20"/>
      <c r="R2014" s="20"/>
      <c r="S2014" s="20"/>
      <c r="T2014" s="20"/>
      <c r="U2014" s="20"/>
      <c r="V2014" s="20"/>
      <c r="W2014" s="20"/>
      <c r="X2014" s="20"/>
      <c r="Y2014" s="20"/>
    </row>
    <row r="2015" spans="1:25" x14ac:dyDescent="0.3">
      <c r="A2015" s="20"/>
      <c r="B2015" s="20"/>
      <c r="C2015" s="20"/>
      <c r="D2015" s="20"/>
      <c r="E2015" s="20"/>
      <c r="F2015" s="20"/>
      <c r="G2015" s="20"/>
      <c r="H2015" s="20"/>
      <c r="I2015" s="20"/>
      <c r="J2015" s="20"/>
      <c r="K2015" s="20"/>
      <c r="L2015" s="20"/>
      <c r="M2015" s="20"/>
      <c r="N2015" s="20"/>
      <c r="O2015" s="20"/>
      <c r="P2015" s="20"/>
      <c r="Q2015" s="20"/>
      <c r="R2015" s="20"/>
      <c r="S2015" s="20"/>
      <c r="T2015" s="20"/>
      <c r="U2015" s="20"/>
      <c r="V2015" s="20"/>
      <c r="W2015" s="20"/>
      <c r="X2015" s="20"/>
      <c r="Y2015" s="20"/>
    </row>
    <row r="2016" spans="1:25" x14ac:dyDescent="0.3">
      <c r="A2016" s="20"/>
      <c r="B2016" s="20"/>
      <c r="C2016" s="20"/>
      <c r="D2016" s="20"/>
      <c r="E2016" s="20"/>
      <c r="F2016" s="20"/>
      <c r="G2016" s="20"/>
      <c r="H2016" s="20"/>
      <c r="I2016" s="20"/>
      <c r="J2016" s="20"/>
      <c r="K2016" s="20"/>
      <c r="L2016" s="20"/>
      <c r="M2016" s="20"/>
      <c r="N2016" s="20"/>
      <c r="O2016" s="20"/>
      <c r="P2016" s="20"/>
      <c r="Q2016" s="20"/>
      <c r="R2016" s="20"/>
      <c r="S2016" s="20"/>
      <c r="T2016" s="20"/>
      <c r="U2016" s="20"/>
      <c r="V2016" s="20"/>
      <c r="W2016" s="20"/>
      <c r="X2016" s="20"/>
      <c r="Y2016" s="20"/>
    </row>
    <row r="2017" spans="1:25" x14ac:dyDescent="0.3">
      <c r="A2017" s="20"/>
      <c r="B2017" s="20"/>
      <c r="C2017" s="20"/>
      <c r="D2017" s="20"/>
      <c r="E2017" s="20"/>
      <c r="F2017" s="20"/>
      <c r="G2017" s="20"/>
      <c r="H2017" s="20"/>
      <c r="I2017" s="20"/>
      <c r="J2017" s="20"/>
      <c r="K2017" s="20"/>
      <c r="L2017" s="20"/>
      <c r="M2017" s="20"/>
      <c r="N2017" s="20"/>
      <c r="O2017" s="20"/>
      <c r="P2017" s="20"/>
      <c r="Q2017" s="20"/>
      <c r="R2017" s="20"/>
      <c r="S2017" s="20"/>
      <c r="T2017" s="20"/>
      <c r="U2017" s="20"/>
      <c r="V2017" s="20"/>
      <c r="W2017" s="20"/>
      <c r="X2017" s="20"/>
      <c r="Y2017" s="20"/>
    </row>
    <row r="2018" spans="1:25" x14ac:dyDescent="0.3">
      <c r="A2018" s="20"/>
      <c r="B2018" s="20"/>
      <c r="C2018" s="20"/>
      <c r="D2018" s="20"/>
      <c r="E2018" s="20"/>
      <c r="F2018" s="20"/>
      <c r="G2018" s="20"/>
      <c r="H2018" s="20"/>
      <c r="I2018" s="20"/>
      <c r="J2018" s="20"/>
      <c r="K2018" s="20"/>
      <c r="L2018" s="20"/>
      <c r="M2018" s="20"/>
      <c r="N2018" s="20"/>
      <c r="O2018" s="20"/>
      <c r="P2018" s="20"/>
      <c r="Q2018" s="20"/>
      <c r="R2018" s="20"/>
      <c r="S2018" s="20"/>
      <c r="T2018" s="20"/>
      <c r="U2018" s="20"/>
      <c r="V2018" s="20"/>
      <c r="W2018" s="20"/>
      <c r="X2018" s="20"/>
      <c r="Y2018" s="20"/>
    </row>
    <row r="2019" spans="1:25" x14ac:dyDescent="0.3">
      <c r="A2019" s="20"/>
      <c r="B2019" s="20"/>
      <c r="C2019" s="20"/>
      <c r="D2019" s="20"/>
      <c r="E2019" s="20"/>
      <c r="F2019" s="20"/>
      <c r="G2019" s="20"/>
      <c r="H2019" s="20"/>
      <c r="I2019" s="20"/>
      <c r="J2019" s="20"/>
      <c r="K2019" s="20"/>
      <c r="L2019" s="20"/>
      <c r="M2019" s="20"/>
      <c r="N2019" s="20"/>
      <c r="O2019" s="20"/>
      <c r="P2019" s="20"/>
      <c r="Q2019" s="20"/>
      <c r="R2019" s="20"/>
      <c r="S2019" s="20"/>
      <c r="T2019" s="20"/>
      <c r="U2019" s="20"/>
      <c r="V2019" s="20"/>
      <c r="W2019" s="20"/>
      <c r="X2019" s="20"/>
      <c r="Y2019" s="20"/>
    </row>
    <row r="2020" spans="1:25" x14ac:dyDescent="0.3">
      <c r="A2020" s="20"/>
      <c r="B2020" s="20"/>
      <c r="C2020" s="20"/>
      <c r="D2020" s="20"/>
      <c r="E2020" s="20"/>
      <c r="F2020" s="20"/>
      <c r="G2020" s="20"/>
      <c r="H2020" s="20"/>
      <c r="I2020" s="20"/>
      <c r="J2020" s="20"/>
      <c r="K2020" s="20"/>
      <c r="L2020" s="20"/>
      <c r="M2020" s="20"/>
      <c r="N2020" s="20"/>
      <c r="O2020" s="20"/>
      <c r="P2020" s="20"/>
      <c r="Q2020" s="20"/>
      <c r="R2020" s="20"/>
      <c r="S2020" s="20"/>
      <c r="T2020" s="20"/>
      <c r="U2020" s="20"/>
      <c r="V2020" s="20"/>
      <c r="W2020" s="20"/>
      <c r="X2020" s="20"/>
      <c r="Y2020" s="20"/>
    </row>
    <row r="2021" spans="1:25" x14ac:dyDescent="0.3">
      <c r="A2021" s="20"/>
      <c r="B2021" s="20"/>
      <c r="C2021" s="20"/>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row>
    <row r="2022" spans="1:25" x14ac:dyDescent="0.3">
      <c r="A2022" s="20"/>
      <c r="B2022" s="20"/>
      <c r="C2022" s="20"/>
      <c r="D2022" s="20"/>
      <c r="E2022" s="20"/>
      <c r="F2022" s="20"/>
      <c r="G2022" s="20"/>
      <c r="H2022" s="20"/>
      <c r="I2022" s="20"/>
      <c r="J2022" s="20"/>
      <c r="K2022" s="20"/>
      <c r="L2022" s="20"/>
      <c r="M2022" s="20"/>
      <c r="N2022" s="20"/>
      <c r="O2022" s="20"/>
      <c r="P2022" s="20"/>
      <c r="Q2022" s="20"/>
      <c r="R2022" s="20"/>
      <c r="S2022" s="20"/>
      <c r="T2022" s="20"/>
      <c r="U2022" s="20"/>
      <c r="V2022" s="20"/>
      <c r="W2022" s="20"/>
      <c r="X2022" s="20"/>
      <c r="Y2022" s="20"/>
    </row>
    <row r="2023" spans="1:25" x14ac:dyDescent="0.3">
      <c r="A2023" s="20"/>
      <c r="B2023" s="20"/>
      <c r="C2023" s="20"/>
      <c r="D2023" s="20"/>
      <c r="E2023" s="20"/>
      <c r="F2023" s="20"/>
      <c r="G2023" s="20"/>
      <c r="H2023" s="20"/>
      <c r="I2023" s="20"/>
      <c r="J2023" s="20"/>
      <c r="K2023" s="20"/>
      <c r="L2023" s="20"/>
      <c r="M2023" s="20"/>
      <c r="N2023" s="20"/>
      <c r="O2023" s="20"/>
      <c r="P2023" s="20"/>
      <c r="Q2023" s="20"/>
      <c r="R2023" s="20"/>
      <c r="S2023" s="20"/>
      <c r="T2023" s="20"/>
      <c r="U2023" s="20"/>
      <c r="V2023" s="20"/>
      <c r="W2023" s="20"/>
      <c r="X2023" s="20"/>
      <c r="Y2023" s="20"/>
    </row>
    <row r="2024" spans="1:25" x14ac:dyDescent="0.3">
      <c r="A2024" s="20"/>
      <c r="B2024" s="20"/>
      <c r="C2024" s="20"/>
      <c r="D2024" s="20"/>
      <c r="E2024" s="20"/>
      <c r="F2024" s="20"/>
      <c r="G2024" s="20"/>
      <c r="H2024" s="20"/>
      <c r="I2024" s="20"/>
      <c r="J2024" s="20"/>
      <c r="K2024" s="20"/>
      <c r="L2024" s="20"/>
      <c r="M2024" s="20"/>
      <c r="N2024" s="20"/>
      <c r="O2024" s="20"/>
      <c r="P2024" s="20"/>
      <c r="Q2024" s="20"/>
      <c r="R2024" s="20"/>
      <c r="S2024" s="20"/>
      <c r="T2024" s="20"/>
      <c r="U2024" s="20"/>
      <c r="V2024" s="20"/>
      <c r="W2024" s="20"/>
      <c r="X2024" s="20"/>
      <c r="Y2024" s="20"/>
    </row>
    <row r="2025" spans="1:25" x14ac:dyDescent="0.3">
      <c r="A2025" s="20"/>
      <c r="B2025" s="20"/>
      <c r="C2025" s="20"/>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row>
    <row r="2026" spans="1:25" x14ac:dyDescent="0.3">
      <c r="A2026" s="20"/>
      <c r="B2026" s="20"/>
      <c r="C2026" s="20"/>
      <c r="D2026" s="20"/>
      <c r="E2026" s="20"/>
      <c r="F2026" s="20"/>
      <c r="G2026" s="20"/>
      <c r="H2026" s="20"/>
      <c r="I2026" s="20"/>
      <c r="J2026" s="20"/>
      <c r="K2026" s="20"/>
      <c r="L2026" s="20"/>
      <c r="M2026" s="20"/>
      <c r="N2026" s="20"/>
      <c r="O2026" s="20"/>
      <c r="P2026" s="20"/>
      <c r="Q2026" s="20"/>
      <c r="R2026" s="20"/>
      <c r="S2026" s="20"/>
      <c r="T2026" s="20"/>
      <c r="U2026" s="20"/>
      <c r="V2026" s="20"/>
      <c r="W2026" s="20"/>
      <c r="X2026" s="20"/>
      <c r="Y2026" s="20"/>
    </row>
    <row r="2027" spans="1:25" x14ac:dyDescent="0.3">
      <c r="A2027" s="20"/>
      <c r="B2027" s="20"/>
      <c r="C2027" s="20"/>
      <c r="D2027" s="20"/>
      <c r="E2027" s="20"/>
      <c r="F2027" s="20"/>
      <c r="G2027" s="20"/>
      <c r="H2027" s="20"/>
      <c r="I2027" s="20"/>
      <c r="J2027" s="20"/>
      <c r="K2027" s="20"/>
      <c r="L2027" s="20"/>
      <c r="M2027" s="20"/>
      <c r="N2027" s="20"/>
      <c r="O2027" s="20"/>
      <c r="P2027" s="20"/>
      <c r="Q2027" s="20"/>
      <c r="R2027" s="20"/>
      <c r="S2027" s="20"/>
      <c r="T2027" s="20"/>
      <c r="U2027" s="20"/>
      <c r="V2027" s="20"/>
      <c r="W2027" s="20"/>
      <c r="X2027" s="20"/>
      <c r="Y2027" s="20"/>
    </row>
    <row r="2028" spans="1:25" x14ac:dyDescent="0.3">
      <c r="A2028" s="20"/>
      <c r="B2028" s="20"/>
      <c r="C2028" s="20"/>
      <c r="D2028" s="20"/>
      <c r="E2028" s="20"/>
      <c r="F2028" s="20"/>
      <c r="G2028" s="20"/>
      <c r="H2028" s="20"/>
      <c r="I2028" s="20"/>
      <c r="J2028" s="20"/>
      <c r="K2028" s="20"/>
      <c r="L2028" s="20"/>
      <c r="M2028" s="20"/>
      <c r="N2028" s="20"/>
      <c r="O2028" s="20"/>
      <c r="P2028" s="20"/>
      <c r="Q2028" s="20"/>
      <c r="R2028" s="20"/>
      <c r="S2028" s="20"/>
      <c r="T2028" s="20"/>
      <c r="U2028" s="20"/>
      <c r="V2028" s="20"/>
      <c r="W2028" s="20"/>
      <c r="X2028" s="20"/>
      <c r="Y2028" s="20"/>
    </row>
    <row r="2029" spans="1:25" x14ac:dyDescent="0.3">
      <c r="A2029" s="20"/>
      <c r="B2029" s="20"/>
      <c r="C2029" s="20"/>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row>
    <row r="2030" spans="1:25" x14ac:dyDescent="0.3">
      <c r="A2030" s="20"/>
      <c r="B2030" s="20"/>
      <c r="C2030" s="20"/>
      <c r="D2030" s="20"/>
      <c r="E2030" s="20"/>
      <c r="F2030" s="20"/>
      <c r="G2030" s="20"/>
      <c r="H2030" s="20"/>
      <c r="I2030" s="20"/>
      <c r="J2030" s="20"/>
      <c r="K2030" s="20"/>
      <c r="L2030" s="20"/>
      <c r="M2030" s="20"/>
      <c r="N2030" s="20"/>
      <c r="O2030" s="20"/>
      <c r="P2030" s="20"/>
      <c r="Q2030" s="20"/>
      <c r="R2030" s="20"/>
      <c r="S2030" s="20"/>
      <c r="T2030" s="20"/>
      <c r="U2030" s="20"/>
      <c r="V2030" s="20"/>
      <c r="W2030" s="20"/>
      <c r="X2030" s="20"/>
      <c r="Y2030" s="20"/>
    </row>
    <row r="2031" spans="1:25" x14ac:dyDescent="0.3">
      <c r="A2031" s="20"/>
      <c r="B2031" s="20"/>
      <c r="C2031" s="20"/>
      <c r="D2031" s="20"/>
      <c r="E2031" s="20"/>
      <c r="F2031" s="20"/>
      <c r="G2031" s="20"/>
      <c r="H2031" s="20"/>
      <c r="I2031" s="20"/>
      <c r="J2031" s="20"/>
      <c r="K2031" s="20"/>
      <c r="L2031" s="20"/>
      <c r="M2031" s="20"/>
      <c r="N2031" s="20"/>
      <c r="O2031" s="20"/>
      <c r="P2031" s="20"/>
      <c r="Q2031" s="20"/>
      <c r="R2031" s="20"/>
      <c r="S2031" s="20"/>
      <c r="T2031" s="20"/>
      <c r="U2031" s="20"/>
      <c r="V2031" s="20"/>
      <c r="W2031" s="20"/>
      <c r="X2031" s="20"/>
      <c r="Y2031" s="20"/>
    </row>
    <row r="2032" spans="1:25" x14ac:dyDescent="0.3">
      <c r="A2032" s="20"/>
      <c r="B2032" s="20"/>
      <c r="C2032" s="20"/>
      <c r="D2032" s="20"/>
      <c r="E2032" s="20"/>
      <c r="F2032" s="20"/>
      <c r="G2032" s="20"/>
      <c r="H2032" s="20"/>
      <c r="I2032" s="20"/>
      <c r="J2032" s="20"/>
      <c r="K2032" s="20"/>
      <c r="L2032" s="20"/>
      <c r="M2032" s="20"/>
      <c r="N2032" s="20"/>
      <c r="O2032" s="20"/>
      <c r="P2032" s="20"/>
      <c r="Q2032" s="20"/>
      <c r="R2032" s="20"/>
      <c r="S2032" s="20"/>
      <c r="T2032" s="20"/>
      <c r="U2032" s="20"/>
      <c r="V2032" s="20"/>
      <c r="W2032" s="20"/>
      <c r="X2032" s="20"/>
      <c r="Y2032" s="20"/>
    </row>
    <row r="2033" spans="1:25" x14ac:dyDescent="0.3">
      <c r="A2033" s="20"/>
      <c r="B2033" s="20"/>
      <c r="C2033" s="20"/>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row>
    <row r="2034" spans="1:25" x14ac:dyDescent="0.3">
      <c r="A2034" s="20"/>
      <c r="B2034" s="20"/>
      <c r="C2034" s="20"/>
      <c r="D2034" s="20"/>
      <c r="E2034" s="20"/>
      <c r="F2034" s="20"/>
      <c r="G2034" s="20"/>
      <c r="H2034" s="20"/>
      <c r="I2034" s="20"/>
      <c r="J2034" s="20"/>
      <c r="K2034" s="20"/>
      <c r="L2034" s="20"/>
      <c r="M2034" s="20"/>
      <c r="N2034" s="20"/>
      <c r="O2034" s="20"/>
      <c r="P2034" s="20"/>
      <c r="Q2034" s="20"/>
      <c r="R2034" s="20"/>
      <c r="S2034" s="20"/>
      <c r="T2034" s="20"/>
      <c r="U2034" s="20"/>
      <c r="V2034" s="20"/>
      <c r="W2034" s="20"/>
      <c r="X2034" s="20"/>
      <c r="Y2034" s="20"/>
    </row>
    <row r="2035" spans="1:25" x14ac:dyDescent="0.3">
      <c r="A2035" s="20"/>
      <c r="B2035" s="20"/>
      <c r="C2035" s="20"/>
      <c r="D2035" s="20"/>
      <c r="E2035" s="20"/>
      <c r="F2035" s="20"/>
      <c r="G2035" s="20"/>
      <c r="H2035" s="20"/>
      <c r="I2035" s="20"/>
      <c r="J2035" s="20"/>
      <c r="K2035" s="20"/>
      <c r="L2035" s="20"/>
      <c r="M2035" s="20"/>
      <c r="N2035" s="20"/>
      <c r="O2035" s="20"/>
      <c r="P2035" s="20"/>
      <c r="Q2035" s="20"/>
      <c r="R2035" s="20"/>
      <c r="S2035" s="20"/>
      <c r="T2035" s="20"/>
      <c r="U2035" s="20"/>
      <c r="V2035" s="20"/>
      <c r="W2035" s="20"/>
      <c r="X2035" s="20"/>
      <c r="Y2035" s="20"/>
    </row>
    <row r="2036" spans="1:25" x14ac:dyDescent="0.3">
      <c r="A2036" s="20"/>
      <c r="B2036" s="20"/>
      <c r="C2036" s="20"/>
      <c r="D2036" s="20"/>
      <c r="E2036" s="20"/>
      <c r="F2036" s="20"/>
      <c r="G2036" s="20"/>
      <c r="H2036" s="20"/>
      <c r="I2036" s="20"/>
      <c r="J2036" s="20"/>
      <c r="K2036" s="20"/>
      <c r="L2036" s="20"/>
      <c r="M2036" s="20"/>
      <c r="N2036" s="20"/>
      <c r="O2036" s="20"/>
      <c r="P2036" s="20"/>
      <c r="Q2036" s="20"/>
      <c r="R2036" s="20"/>
      <c r="S2036" s="20"/>
      <c r="T2036" s="20"/>
      <c r="U2036" s="20"/>
      <c r="V2036" s="20"/>
      <c r="W2036" s="20"/>
      <c r="X2036" s="20"/>
      <c r="Y2036" s="20"/>
    </row>
    <row r="2037" spans="1:25" x14ac:dyDescent="0.3">
      <c r="A2037" s="20"/>
      <c r="B2037" s="20"/>
      <c r="C2037" s="20"/>
      <c r="D2037" s="20"/>
      <c r="E2037" s="20"/>
      <c r="F2037" s="20"/>
      <c r="G2037" s="20"/>
      <c r="H2037" s="20"/>
      <c r="I2037" s="20"/>
      <c r="J2037" s="20"/>
      <c r="K2037" s="20"/>
      <c r="L2037" s="20"/>
      <c r="M2037" s="20"/>
      <c r="N2037" s="20"/>
      <c r="O2037" s="20"/>
      <c r="P2037" s="20"/>
      <c r="Q2037" s="20"/>
      <c r="R2037" s="20"/>
      <c r="S2037" s="20"/>
      <c r="T2037" s="20"/>
      <c r="U2037" s="20"/>
      <c r="V2037" s="20"/>
      <c r="W2037" s="20"/>
      <c r="X2037" s="20"/>
      <c r="Y2037" s="20"/>
    </row>
    <row r="2038" spans="1:25" x14ac:dyDescent="0.3">
      <c r="A2038" s="20"/>
      <c r="B2038" s="20"/>
      <c r="C2038" s="20"/>
      <c r="D2038" s="20"/>
      <c r="E2038" s="20"/>
      <c r="F2038" s="20"/>
      <c r="G2038" s="20"/>
      <c r="H2038" s="20"/>
      <c r="I2038" s="20"/>
      <c r="J2038" s="20"/>
      <c r="K2038" s="20"/>
      <c r="L2038" s="20"/>
      <c r="M2038" s="20"/>
      <c r="N2038" s="20"/>
      <c r="O2038" s="20"/>
      <c r="P2038" s="20"/>
      <c r="Q2038" s="20"/>
      <c r="R2038" s="20"/>
      <c r="S2038" s="20"/>
      <c r="T2038" s="20"/>
      <c r="U2038" s="20"/>
      <c r="V2038" s="20"/>
      <c r="W2038" s="20"/>
      <c r="X2038" s="20"/>
      <c r="Y2038" s="20"/>
    </row>
    <row r="2039" spans="1:25" x14ac:dyDescent="0.3">
      <c r="A2039" s="20"/>
      <c r="B2039" s="20"/>
      <c r="C2039" s="20"/>
      <c r="D2039" s="20"/>
      <c r="E2039" s="20"/>
      <c r="F2039" s="20"/>
      <c r="G2039" s="20"/>
      <c r="H2039" s="20"/>
      <c r="I2039" s="20"/>
      <c r="J2039" s="20"/>
      <c r="K2039" s="20"/>
      <c r="L2039" s="20"/>
      <c r="M2039" s="20"/>
      <c r="N2039" s="20"/>
      <c r="O2039" s="20"/>
      <c r="P2039" s="20"/>
      <c r="Q2039" s="20"/>
      <c r="R2039" s="20"/>
      <c r="S2039" s="20"/>
      <c r="T2039" s="20"/>
      <c r="U2039" s="20"/>
      <c r="V2039" s="20"/>
      <c r="W2039" s="20"/>
      <c r="X2039" s="20"/>
      <c r="Y2039" s="20"/>
    </row>
    <row r="2040" spans="1:25" x14ac:dyDescent="0.3">
      <c r="A2040" s="20"/>
      <c r="B2040" s="20"/>
      <c r="C2040" s="20"/>
      <c r="D2040" s="20"/>
      <c r="E2040" s="20"/>
      <c r="F2040" s="20"/>
      <c r="G2040" s="20"/>
      <c r="H2040" s="20"/>
      <c r="I2040" s="20"/>
      <c r="J2040" s="20"/>
      <c r="K2040" s="20"/>
      <c r="L2040" s="20"/>
      <c r="M2040" s="20"/>
      <c r="N2040" s="20"/>
      <c r="O2040" s="20"/>
      <c r="P2040" s="20"/>
      <c r="Q2040" s="20"/>
      <c r="R2040" s="20"/>
      <c r="S2040" s="20"/>
      <c r="T2040" s="20"/>
      <c r="U2040" s="20"/>
      <c r="V2040" s="20"/>
      <c r="W2040" s="20"/>
      <c r="X2040" s="20"/>
      <c r="Y2040" s="20"/>
    </row>
    <row r="2041" spans="1:25" x14ac:dyDescent="0.3">
      <c r="A2041" s="20"/>
      <c r="B2041" s="20"/>
      <c r="C2041" s="20"/>
      <c r="D2041" s="20"/>
      <c r="E2041" s="20"/>
      <c r="F2041" s="20"/>
      <c r="G2041" s="20"/>
      <c r="H2041" s="20"/>
      <c r="I2041" s="20"/>
      <c r="J2041" s="20"/>
      <c r="K2041" s="20"/>
      <c r="L2041" s="20"/>
      <c r="M2041" s="20"/>
      <c r="N2041" s="20"/>
      <c r="O2041" s="20"/>
      <c r="P2041" s="20"/>
      <c r="Q2041" s="20"/>
      <c r="R2041" s="20"/>
      <c r="S2041" s="20"/>
      <c r="T2041" s="20"/>
      <c r="U2041" s="20"/>
      <c r="V2041" s="20"/>
      <c r="W2041" s="20"/>
      <c r="X2041" s="20"/>
      <c r="Y2041" s="20"/>
    </row>
    <row r="2042" spans="1:25" x14ac:dyDescent="0.3">
      <c r="A2042" s="20"/>
      <c r="B2042" s="20"/>
      <c r="C2042" s="20"/>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row>
    <row r="2043" spans="1:25" x14ac:dyDescent="0.3">
      <c r="A2043" s="20"/>
      <c r="B2043" s="20"/>
      <c r="C2043" s="20"/>
      <c r="D2043" s="20"/>
      <c r="E2043" s="20"/>
      <c r="F2043" s="20"/>
      <c r="G2043" s="20"/>
      <c r="H2043" s="20"/>
      <c r="I2043" s="20"/>
      <c r="J2043" s="20"/>
      <c r="K2043" s="20"/>
      <c r="L2043" s="20"/>
      <c r="M2043" s="20"/>
      <c r="N2043" s="20"/>
      <c r="O2043" s="20"/>
      <c r="P2043" s="20"/>
      <c r="Q2043" s="20"/>
      <c r="R2043" s="20"/>
      <c r="S2043" s="20"/>
      <c r="T2043" s="20"/>
      <c r="U2043" s="20"/>
      <c r="V2043" s="20"/>
      <c r="W2043" s="20"/>
      <c r="X2043" s="20"/>
      <c r="Y2043" s="20"/>
    </row>
    <row r="2044" spans="1:25" x14ac:dyDescent="0.3">
      <c r="A2044" s="20"/>
      <c r="B2044" s="20"/>
      <c r="C2044" s="20"/>
      <c r="D2044" s="20"/>
      <c r="E2044" s="20"/>
      <c r="F2044" s="20"/>
      <c r="G2044" s="20"/>
      <c r="H2044" s="20"/>
      <c r="I2044" s="20"/>
      <c r="J2044" s="20"/>
      <c r="K2044" s="20"/>
      <c r="L2044" s="20"/>
      <c r="M2044" s="20"/>
      <c r="N2044" s="20"/>
      <c r="O2044" s="20"/>
      <c r="P2044" s="20"/>
      <c r="Q2044" s="20"/>
      <c r="R2044" s="20"/>
      <c r="S2044" s="20"/>
      <c r="T2044" s="20"/>
      <c r="U2044" s="20"/>
      <c r="V2044" s="20"/>
      <c r="W2044" s="20"/>
      <c r="X2044" s="20"/>
      <c r="Y2044" s="20"/>
    </row>
    <row r="2045" spans="1:25" x14ac:dyDescent="0.3">
      <c r="A2045" s="20"/>
      <c r="B2045" s="20"/>
      <c r="C2045" s="20"/>
      <c r="D2045" s="20"/>
      <c r="E2045" s="20"/>
      <c r="F2045" s="20"/>
      <c r="G2045" s="20"/>
      <c r="H2045" s="20"/>
      <c r="I2045" s="20"/>
      <c r="J2045" s="20"/>
      <c r="K2045" s="20"/>
      <c r="L2045" s="20"/>
      <c r="M2045" s="20"/>
      <c r="N2045" s="20"/>
      <c r="O2045" s="20"/>
      <c r="P2045" s="20"/>
      <c r="Q2045" s="20"/>
      <c r="R2045" s="20"/>
      <c r="S2045" s="20"/>
      <c r="T2045" s="20"/>
      <c r="U2045" s="20"/>
      <c r="V2045" s="20"/>
      <c r="W2045" s="20"/>
      <c r="X2045" s="20"/>
      <c r="Y2045" s="20"/>
    </row>
    <row r="2046" spans="1:25" x14ac:dyDescent="0.3">
      <c r="A2046" s="20"/>
      <c r="B2046" s="20"/>
      <c r="C2046" s="20"/>
      <c r="D2046" s="20"/>
      <c r="E2046" s="20"/>
      <c r="F2046" s="20"/>
      <c r="G2046" s="20"/>
      <c r="H2046" s="20"/>
      <c r="I2046" s="20"/>
      <c r="J2046" s="20"/>
      <c r="K2046" s="20"/>
      <c r="L2046" s="20"/>
      <c r="M2046" s="20"/>
      <c r="N2046" s="20"/>
      <c r="O2046" s="20"/>
      <c r="P2046" s="20"/>
      <c r="Q2046" s="20"/>
      <c r="R2046" s="20"/>
      <c r="S2046" s="20"/>
      <c r="T2046" s="20"/>
      <c r="U2046" s="20"/>
      <c r="V2046" s="20"/>
      <c r="W2046" s="20"/>
      <c r="X2046" s="20"/>
      <c r="Y2046" s="20"/>
    </row>
    <row r="2047" spans="1:25" x14ac:dyDescent="0.3">
      <c r="A2047" s="20"/>
      <c r="B2047" s="20"/>
      <c r="C2047" s="20"/>
      <c r="D2047" s="20"/>
      <c r="E2047" s="20"/>
      <c r="F2047" s="20"/>
      <c r="G2047" s="20"/>
      <c r="H2047" s="20"/>
      <c r="I2047" s="20"/>
      <c r="J2047" s="20"/>
      <c r="K2047" s="20"/>
      <c r="L2047" s="20"/>
      <c r="M2047" s="20"/>
      <c r="N2047" s="20"/>
      <c r="O2047" s="20"/>
      <c r="P2047" s="20"/>
      <c r="Q2047" s="20"/>
      <c r="R2047" s="20"/>
      <c r="S2047" s="20"/>
      <c r="T2047" s="20"/>
      <c r="U2047" s="20"/>
      <c r="V2047" s="20"/>
      <c r="W2047" s="20"/>
      <c r="X2047" s="20"/>
      <c r="Y2047" s="20"/>
    </row>
    <row r="2048" spans="1:25" x14ac:dyDescent="0.3">
      <c r="A2048" s="20"/>
      <c r="B2048" s="20"/>
      <c r="C2048" s="20"/>
      <c r="D2048" s="20"/>
      <c r="E2048" s="20"/>
      <c r="F2048" s="20"/>
      <c r="G2048" s="20"/>
      <c r="H2048" s="20"/>
      <c r="I2048" s="20"/>
      <c r="J2048" s="20"/>
      <c r="K2048" s="20"/>
      <c r="L2048" s="20"/>
      <c r="M2048" s="20"/>
      <c r="N2048" s="20"/>
      <c r="O2048" s="20"/>
      <c r="P2048" s="20"/>
      <c r="Q2048" s="20"/>
      <c r="R2048" s="20"/>
      <c r="S2048" s="20"/>
      <c r="T2048" s="20"/>
      <c r="U2048" s="20"/>
      <c r="V2048" s="20"/>
      <c r="W2048" s="20"/>
      <c r="X2048" s="20"/>
      <c r="Y2048" s="20"/>
    </row>
    <row r="2049" spans="1:25" x14ac:dyDescent="0.3">
      <c r="A2049" s="20"/>
      <c r="B2049" s="20"/>
      <c r="C2049" s="20"/>
      <c r="D2049" s="20"/>
      <c r="E2049" s="20"/>
      <c r="F2049" s="20"/>
      <c r="G2049" s="20"/>
      <c r="H2049" s="20"/>
      <c r="I2049" s="20"/>
      <c r="J2049" s="20"/>
      <c r="K2049" s="20"/>
      <c r="L2049" s="20"/>
      <c r="M2049" s="20"/>
      <c r="N2049" s="20"/>
      <c r="O2049" s="20"/>
      <c r="P2049" s="20"/>
      <c r="Q2049" s="20"/>
      <c r="R2049" s="20"/>
      <c r="S2049" s="20"/>
      <c r="T2049" s="20"/>
      <c r="U2049" s="20"/>
      <c r="V2049" s="20"/>
      <c r="W2049" s="20"/>
      <c r="X2049" s="20"/>
      <c r="Y2049" s="20"/>
    </row>
    <row r="2050" spans="1:25" x14ac:dyDescent="0.3">
      <c r="A2050" s="20"/>
      <c r="B2050" s="20"/>
      <c r="C2050" s="20"/>
      <c r="D2050" s="20"/>
      <c r="E2050" s="20"/>
      <c r="F2050" s="20"/>
      <c r="G2050" s="20"/>
      <c r="H2050" s="20"/>
      <c r="I2050" s="20"/>
      <c r="J2050" s="20"/>
      <c r="K2050" s="20"/>
      <c r="L2050" s="20"/>
      <c r="M2050" s="20"/>
      <c r="N2050" s="20"/>
      <c r="O2050" s="20"/>
      <c r="P2050" s="20"/>
      <c r="Q2050" s="20"/>
      <c r="R2050" s="20"/>
      <c r="S2050" s="20"/>
      <c r="T2050" s="20"/>
      <c r="U2050" s="20"/>
      <c r="V2050" s="20"/>
      <c r="W2050" s="20"/>
      <c r="X2050" s="20"/>
      <c r="Y2050" s="20"/>
    </row>
    <row r="2051" spans="1:25" x14ac:dyDescent="0.3">
      <c r="A2051" s="20"/>
      <c r="B2051" s="20"/>
      <c r="C2051" s="20"/>
      <c r="D2051" s="20"/>
      <c r="E2051" s="20"/>
      <c r="F2051" s="20"/>
      <c r="G2051" s="20"/>
      <c r="H2051" s="20"/>
      <c r="I2051" s="20"/>
      <c r="J2051" s="20"/>
      <c r="K2051" s="20"/>
      <c r="L2051" s="20"/>
      <c r="M2051" s="20"/>
      <c r="N2051" s="20"/>
      <c r="O2051" s="20"/>
      <c r="P2051" s="20"/>
      <c r="Q2051" s="20"/>
      <c r="R2051" s="20"/>
      <c r="S2051" s="20"/>
      <c r="T2051" s="20"/>
      <c r="U2051" s="20"/>
      <c r="V2051" s="20"/>
      <c r="W2051" s="20"/>
      <c r="X2051" s="20"/>
      <c r="Y2051" s="20"/>
    </row>
    <row r="2052" spans="1:25" x14ac:dyDescent="0.3">
      <c r="A2052" s="20"/>
      <c r="B2052" s="20"/>
      <c r="C2052" s="20"/>
      <c r="D2052" s="20"/>
      <c r="E2052" s="20"/>
      <c r="F2052" s="20"/>
      <c r="G2052" s="20"/>
      <c r="H2052" s="20"/>
      <c r="I2052" s="20"/>
      <c r="J2052" s="20"/>
      <c r="K2052" s="20"/>
      <c r="L2052" s="20"/>
      <c r="M2052" s="20"/>
      <c r="N2052" s="20"/>
      <c r="O2052" s="20"/>
      <c r="P2052" s="20"/>
      <c r="Q2052" s="20"/>
      <c r="R2052" s="20"/>
      <c r="S2052" s="20"/>
      <c r="T2052" s="20"/>
      <c r="U2052" s="20"/>
      <c r="V2052" s="20"/>
      <c r="W2052" s="20"/>
      <c r="X2052" s="20"/>
      <c r="Y2052" s="20"/>
    </row>
    <row r="2053" spans="1:25" x14ac:dyDescent="0.3">
      <c r="A2053" s="20"/>
      <c r="B2053" s="20"/>
      <c r="C2053" s="20"/>
      <c r="D2053" s="20"/>
      <c r="E2053" s="20"/>
      <c r="F2053" s="20"/>
      <c r="G2053" s="20"/>
      <c r="H2053" s="20"/>
      <c r="I2053" s="20"/>
      <c r="J2053" s="20"/>
      <c r="K2053" s="20"/>
      <c r="L2053" s="20"/>
      <c r="M2053" s="20"/>
      <c r="N2053" s="20"/>
      <c r="O2053" s="20"/>
      <c r="P2053" s="20"/>
      <c r="Q2053" s="20"/>
      <c r="R2053" s="20"/>
      <c r="S2053" s="20"/>
      <c r="T2053" s="20"/>
      <c r="U2053" s="20"/>
      <c r="V2053" s="20"/>
      <c r="W2053" s="20"/>
      <c r="X2053" s="20"/>
      <c r="Y2053" s="20"/>
    </row>
    <row r="2054" spans="1:25" x14ac:dyDescent="0.3">
      <c r="A2054" s="20"/>
      <c r="B2054" s="20"/>
      <c r="C2054" s="20"/>
      <c r="D2054" s="20"/>
      <c r="E2054" s="20"/>
      <c r="F2054" s="20"/>
      <c r="G2054" s="20"/>
      <c r="H2054" s="20"/>
      <c r="I2054" s="20"/>
      <c r="J2054" s="20"/>
      <c r="K2054" s="20"/>
      <c r="L2054" s="20"/>
      <c r="M2054" s="20"/>
      <c r="N2054" s="20"/>
      <c r="O2054" s="20"/>
      <c r="P2054" s="20"/>
      <c r="Q2054" s="20"/>
      <c r="R2054" s="20"/>
      <c r="S2054" s="20"/>
      <c r="T2054" s="20"/>
      <c r="U2054" s="20"/>
      <c r="V2054" s="20"/>
      <c r="W2054" s="20"/>
      <c r="X2054" s="20"/>
      <c r="Y2054" s="20"/>
    </row>
    <row r="2055" spans="1:25" x14ac:dyDescent="0.3">
      <c r="A2055" s="20"/>
      <c r="B2055" s="20"/>
      <c r="C2055" s="20"/>
      <c r="D2055" s="20"/>
      <c r="E2055" s="20"/>
      <c r="F2055" s="20"/>
      <c r="G2055" s="20"/>
      <c r="H2055" s="20"/>
      <c r="I2055" s="20"/>
      <c r="J2055" s="20"/>
      <c r="K2055" s="20"/>
      <c r="L2055" s="20"/>
      <c r="M2055" s="20"/>
      <c r="N2055" s="20"/>
      <c r="O2055" s="20"/>
      <c r="P2055" s="20"/>
      <c r="Q2055" s="20"/>
      <c r="R2055" s="20"/>
      <c r="S2055" s="20"/>
      <c r="T2055" s="20"/>
      <c r="U2055" s="20"/>
      <c r="V2055" s="20"/>
      <c r="W2055" s="20"/>
      <c r="X2055" s="20"/>
      <c r="Y2055" s="20"/>
    </row>
    <row r="2056" spans="1:25" x14ac:dyDescent="0.3">
      <c r="A2056" s="20"/>
      <c r="B2056" s="20"/>
      <c r="C2056" s="20"/>
      <c r="D2056" s="20"/>
      <c r="E2056" s="20"/>
      <c r="F2056" s="20"/>
      <c r="G2056" s="20"/>
      <c r="H2056" s="20"/>
      <c r="I2056" s="20"/>
      <c r="J2056" s="20"/>
      <c r="K2056" s="20"/>
      <c r="L2056" s="20"/>
      <c r="M2056" s="20"/>
      <c r="N2056" s="20"/>
      <c r="O2056" s="20"/>
      <c r="P2056" s="20"/>
      <c r="Q2056" s="20"/>
      <c r="R2056" s="20"/>
      <c r="S2056" s="20"/>
      <c r="T2056" s="20"/>
      <c r="U2056" s="20"/>
      <c r="V2056" s="20"/>
      <c r="W2056" s="20"/>
      <c r="X2056" s="20"/>
      <c r="Y2056" s="20"/>
    </row>
    <row r="2057" spans="1:25" x14ac:dyDescent="0.3">
      <c r="A2057" s="20"/>
      <c r="B2057" s="20"/>
      <c r="C2057" s="20"/>
      <c r="D2057" s="20"/>
      <c r="E2057" s="20"/>
      <c r="F2057" s="20"/>
      <c r="G2057" s="20"/>
      <c r="H2057" s="20"/>
      <c r="I2057" s="20"/>
      <c r="J2057" s="20"/>
      <c r="K2057" s="20"/>
      <c r="L2057" s="20"/>
      <c r="M2057" s="20"/>
      <c r="N2057" s="20"/>
      <c r="O2057" s="20"/>
      <c r="P2057" s="20"/>
      <c r="Q2057" s="20"/>
      <c r="R2057" s="20"/>
      <c r="S2057" s="20"/>
      <c r="T2057" s="20"/>
      <c r="U2057" s="20"/>
      <c r="V2057" s="20"/>
      <c r="W2057" s="20"/>
      <c r="X2057" s="20"/>
      <c r="Y2057" s="20"/>
    </row>
    <row r="2058" spans="1:25" x14ac:dyDescent="0.3">
      <c r="A2058" s="20"/>
      <c r="B2058" s="20"/>
      <c r="C2058" s="20"/>
      <c r="D2058" s="20"/>
      <c r="E2058" s="20"/>
      <c r="F2058" s="20"/>
      <c r="G2058" s="20"/>
      <c r="H2058" s="20"/>
      <c r="I2058" s="20"/>
      <c r="J2058" s="20"/>
      <c r="K2058" s="20"/>
      <c r="L2058" s="20"/>
      <c r="M2058" s="20"/>
      <c r="N2058" s="20"/>
      <c r="O2058" s="20"/>
      <c r="P2058" s="20"/>
      <c r="Q2058" s="20"/>
      <c r="R2058" s="20"/>
      <c r="S2058" s="20"/>
      <c r="T2058" s="20"/>
      <c r="U2058" s="20"/>
      <c r="V2058" s="20"/>
      <c r="W2058" s="20"/>
      <c r="X2058" s="20"/>
      <c r="Y2058" s="20"/>
    </row>
    <row r="2059" spans="1:25" x14ac:dyDescent="0.3">
      <c r="A2059" s="20"/>
      <c r="B2059" s="20"/>
      <c r="C2059" s="20"/>
      <c r="D2059" s="20"/>
      <c r="E2059" s="20"/>
      <c r="F2059" s="20"/>
      <c r="G2059" s="20"/>
      <c r="H2059" s="20"/>
      <c r="I2059" s="20"/>
      <c r="J2059" s="20"/>
      <c r="K2059" s="20"/>
      <c r="L2059" s="20"/>
      <c r="M2059" s="20"/>
      <c r="N2059" s="20"/>
      <c r="O2059" s="20"/>
      <c r="P2059" s="20"/>
      <c r="Q2059" s="20"/>
      <c r="R2059" s="20"/>
      <c r="S2059" s="20"/>
      <c r="T2059" s="20"/>
      <c r="U2059" s="20"/>
      <c r="V2059" s="20"/>
      <c r="W2059" s="20"/>
      <c r="X2059" s="20"/>
      <c r="Y2059" s="20"/>
    </row>
    <row r="2060" spans="1:25" x14ac:dyDescent="0.3">
      <c r="A2060" s="20"/>
      <c r="B2060" s="20"/>
      <c r="C2060" s="20"/>
      <c r="D2060" s="20"/>
      <c r="E2060" s="20"/>
      <c r="F2060" s="20"/>
      <c r="G2060" s="20"/>
      <c r="H2060" s="20"/>
      <c r="I2060" s="20"/>
      <c r="J2060" s="20"/>
      <c r="K2060" s="20"/>
      <c r="L2060" s="20"/>
      <c r="M2060" s="20"/>
      <c r="N2060" s="20"/>
      <c r="O2060" s="20"/>
      <c r="P2060" s="20"/>
      <c r="Q2060" s="20"/>
      <c r="R2060" s="20"/>
      <c r="S2060" s="20"/>
      <c r="T2060" s="20"/>
      <c r="U2060" s="20"/>
      <c r="V2060" s="20"/>
      <c r="W2060" s="20"/>
      <c r="X2060" s="20"/>
      <c r="Y2060" s="20"/>
    </row>
    <row r="2061" spans="1:25" x14ac:dyDescent="0.3">
      <c r="A2061" s="20"/>
      <c r="B2061" s="20"/>
      <c r="C2061" s="20"/>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row>
    <row r="2062" spans="1:25" x14ac:dyDescent="0.3">
      <c r="A2062" s="20"/>
      <c r="B2062" s="20"/>
      <c r="C2062" s="20"/>
      <c r="D2062" s="20"/>
      <c r="E2062" s="20"/>
      <c r="F2062" s="20"/>
      <c r="G2062" s="20"/>
      <c r="H2062" s="20"/>
      <c r="I2062" s="20"/>
      <c r="J2062" s="20"/>
      <c r="K2062" s="20"/>
      <c r="L2062" s="20"/>
      <c r="M2062" s="20"/>
      <c r="N2062" s="20"/>
      <c r="O2062" s="20"/>
      <c r="P2062" s="20"/>
      <c r="Q2062" s="20"/>
      <c r="R2062" s="20"/>
      <c r="S2062" s="20"/>
      <c r="T2062" s="20"/>
      <c r="U2062" s="20"/>
      <c r="V2062" s="20"/>
      <c r="W2062" s="20"/>
      <c r="X2062" s="20"/>
      <c r="Y2062" s="20"/>
    </row>
    <row r="2063" spans="1:25" x14ac:dyDescent="0.3">
      <c r="A2063" s="20"/>
      <c r="B2063" s="20"/>
      <c r="C2063" s="20"/>
      <c r="D2063" s="20"/>
      <c r="E2063" s="20"/>
      <c r="F2063" s="20"/>
      <c r="G2063" s="20"/>
      <c r="H2063" s="20"/>
      <c r="I2063" s="20"/>
      <c r="J2063" s="20"/>
      <c r="K2063" s="20"/>
      <c r="L2063" s="20"/>
      <c r="M2063" s="20"/>
      <c r="N2063" s="20"/>
      <c r="O2063" s="20"/>
      <c r="P2063" s="20"/>
      <c r="Q2063" s="20"/>
      <c r="R2063" s="20"/>
      <c r="S2063" s="20"/>
      <c r="T2063" s="20"/>
      <c r="U2063" s="20"/>
      <c r="V2063" s="20"/>
      <c r="W2063" s="20"/>
      <c r="X2063" s="20"/>
      <c r="Y2063" s="20"/>
    </row>
    <row r="2064" spans="1:25" x14ac:dyDescent="0.3">
      <c r="A2064" s="20"/>
      <c r="B2064" s="20"/>
      <c r="C2064" s="20"/>
      <c r="D2064" s="20"/>
      <c r="E2064" s="20"/>
      <c r="F2064" s="20"/>
      <c r="G2064" s="20"/>
      <c r="H2064" s="20"/>
      <c r="I2064" s="20"/>
      <c r="J2064" s="20"/>
      <c r="K2064" s="20"/>
      <c r="L2064" s="20"/>
      <c r="M2064" s="20"/>
      <c r="N2064" s="20"/>
      <c r="O2064" s="20"/>
      <c r="P2064" s="20"/>
      <c r="Q2064" s="20"/>
      <c r="R2064" s="20"/>
      <c r="S2064" s="20"/>
      <c r="T2064" s="20"/>
      <c r="U2064" s="20"/>
      <c r="V2064" s="20"/>
      <c r="W2064" s="20"/>
      <c r="X2064" s="20"/>
      <c r="Y2064" s="20"/>
    </row>
    <row r="2065" spans="1:25" x14ac:dyDescent="0.3">
      <c r="A2065" s="20"/>
      <c r="B2065" s="20"/>
      <c r="C2065" s="20"/>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row>
    <row r="2066" spans="1:25" x14ac:dyDescent="0.3">
      <c r="A2066" s="20"/>
      <c r="B2066" s="20"/>
      <c r="C2066" s="20"/>
      <c r="D2066" s="20"/>
      <c r="E2066" s="20"/>
      <c r="F2066" s="20"/>
      <c r="G2066" s="20"/>
      <c r="H2066" s="20"/>
      <c r="I2066" s="20"/>
      <c r="J2066" s="20"/>
      <c r="K2066" s="20"/>
      <c r="L2066" s="20"/>
      <c r="M2066" s="20"/>
      <c r="N2066" s="20"/>
      <c r="O2066" s="20"/>
      <c r="P2066" s="20"/>
      <c r="Q2066" s="20"/>
      <c r="R2066" s="20"/>
      <c r="S2066" s="20"/>
      <c r="T2066" s="20"/>
      <c r="U2066" s="20"/>
      <c r="V2066" s="20"/>
      <c r="W2066" s="20"/>
      <c r="X2066" s="20"/>
      <c r="Y2066" s="20"/>
    </row>
    <row r="2067" spans="1:25" x14ac:dyDescent="0.3">
      <c r="A2067" s="20"/>
      <c r="B2067" s="20"/>
      <c r="C2067" s="20"/>
      <c r="D2067" s="20"/>
      <c r="E2067" s="20"/>
      <c r="F2067" s="20"/>
      <c r="G2067" s="20"/>
      <c r="H2067" s="20"/>
      <c r="I2067" s="20"/>
      <c r="J2067" s="20"/>
      <c r="K2067" s="20"/>
      <c r="L2067" s="20"/>
      <c r="M2067" s="20"/>
      <c r="N2067" s="20"/>
      <c r="O2067" s="20"/>
      <c r="P2067" s="20"/>
      <c r="Q2067" s="20"/>
      <c r="R2067" s="20"/>
      <c r="S2067" s="20"/>
      <c r="T2067" s="20"/>
      <c r="U2067" s="20"/>
      <c r="V2067" s="20"/>
      <c r="W2067" s="20"/>
      <c r="X2067" s="20"/>
      <c r="Y2067" s="20"/>
    </row>
    <row r="2068" spans="1:25" x14ac:dyDescent="0.3">
      <c r="A2068" s="20"/>
      <c r="B2068" s="20"/>
      <c r="C2068" s="20"/>
      <c r="D2068" s="20"/>
      <c r="E2068" s="20"/>
      <c r="F2068" s="20"/>
      <c r="G2068" s="20"/>
      <c r="H2068" s="20"/>
      <c r="I2068" s="20"/>
      <c r="J2068" s="20"/>
      <c r="K2068" s="20"/>
      <c r="L2068" s="20"/>
      <c r="M2068" s="20"/>
      <c r="N2068" s="20"/>
      <c r="O2068" s="20"/>
      <c r="P2068" s="20"/>
      <c r="Q2068" s="20"/>
      <c r="R2068" s="20"/>
      <c r="S2068" s="20"/>
      <c r="T2068" s="20"/>
      <c r="U2068" s="20"/>
      <c r="V2068" s="20"/>
      <c r="W2068" s="20"/>
      <c r="X2068" s="20"/>
      <c r="Y2068" s="20"/>
    </row>
    <row r="2069" spans="1:25" x14ac:dyDescent="0.3">
      <c r="A2069" s="20"/>
      <c r="B2069" s="20"/>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row>
    <row r="2070" spans="1:25" x14ac:dyDescent="0.3">
      <c r="A2070" s="20"/>
      <c r="B2070" s="20"/>
      <c r="C2070" s="20"/>
      <c r="D2070" s="20"/>
      <c r="E2070" s="20"/>
      <c r="F2070" s="20"/>
      <c r="G2070" s="20"/>
      <c r="H2070" s="20"/>
      <c r="I2070" s="20"/>
      <c r="J2070" s="20"/>
      <c r="K2070" s="20"/>
      <c r="L2070" s="20"/>
      <c r="M2070" s="20"/>
      <c r="N2070" s="20"/>
      <c r="O2070" s="20"/>
      <c r="P2070" s="20"/>
      <c r="Q2070" s="20"/>
      <c r="R2070" s="20"/>
      <c r="S2070" s="20"/>
      <c r="T2070" s="20"/>
      <c r="U2070" s="20"/>
      <c r="V2070" s="20"/>
      <c r="W2070" s="20"/>
      <c r="X2070" s="20"/>
      <c r="Y2070" s="20"/>
    </row>
    <row r="2071" spans="1:25" x14ac:dyDescent="0.3">
      <c r="A2071" s="20"/>
      <c r="B2071" s="20"/>
      <c r="C2071" s="20"/>
      <c r="D2071" s="20"/>
      <c r="E2071" s="20"/>
      <c r="F2071" s="20"/>
      <c r="G2071" s="20"/>
      <c r="H2071" s="20"/>
      <c r="I2071" s="20"/>
      <c r="J2071" s="20"/>
      <c r="K2071" s="20"/>
      <c r="L2071" s="20"/>
      <c r="M2071" s="20"/>
      <c r="N2071" s="20"/>
      <c r="O2071" s="20"/>
      <c r="P2071" s="20"/>
      <c r="Q2071" s="20"/>
      <c r="R2071" s="20"/>
      <c r="S2071" s="20"/>
      <c r="T2071" s="20"/>
      <c r="U2071" s="20"/>
      <c r="V2071" s="20"/>
      <c r="W2071" s="20"/>
      <c r="X2071" s="20"/>
      <c r="Y2071" s="20"/>
    </row>
    <row r="2072" spans="1:25" x14ac:dyDescent="0.3">
      <c r="A2072" s="20"/>
      <c r="B2072" s="20"/>
      <c r="C2072" s="20"/>
      <c r="D2072" s="20"/>
      <c r="E2072" s="20"/>
      <c r="F2072" s="20"/>
      <c r="G2072" s="20"/>
      <c r="H2072" s="20"/>
      <c r="I2072" s="20"/>
      <c r="J2072" s="20"/>
      <c r="K2072" s="20"/>
      <c r="L2072" s="20"/>
      <c r="M2072" s="20"/>
      <c r="N2072" s="20"/>
      <c r="O2072" s="20"/>
      <c r="P2072" s="20"/>
      <c r="Q2072" s="20"/>
      <c r="R2072" s="20"/>
      <c r="S2072" s="20"/>
      <c r="T2072" s="20"/>
      <c r="U2072" s="20"/>
      <c r="V2072" s="20"/>
      <c r="W2072" s="20"/>
      <c r="X2072" s="20"/>
      <c r="Y2072" s="20"/>
    </row>
    <row r="2073" spans="1:25" x14ac:dyDescent="0.3">
      <c r="A2073" s="20"/>
      <c r="B2073" s="20"/>
      <c r="C2073" s="20"/>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row>
    <row r="2074" spans="1:25" x14ac:dyDescent="0.3">
      <c r="A2074" s="20"/>
      <c r="B2074" s="20"/>
      <c r="C2074" s="20"/>
      <c r="D2074" s="20"/>
      <c r="E2074" s="20"/>
      <c r="F2074" s="20"/>
      <c r="G2074" s="20"/>
      <c r="H2074" s="20"/>
      <c r="I2074" s="20"/>
      <c r="J2074" s="20"/>
      <c r="K2074" s="20"/>
      <c r="L2074" s="20"/>
      <c r="M2074" s="20"/>
      <c r="N2074" s="20"/>
      <c r="O2074" s="20"/>
      <c r="P2074" s="20"/>
      <c r="Q2074" s="20"/>
      <c r="R2074" s="20"/>
      <c r="S2074" s="20"/>
      <c r="T2074" s="20"/>
      <c r="U2074" s="20"/>
      <c r="V2074" s="20"/>
      <c r="W2074" s="20"/>
      <c r="X2074" s="20"/>
      <c r="Y2074" s="20"/>
    </row>
    <row r="2075" spans="1:25" x14ac:dyDescent="0.3">
      <c r="A2075" s="20"/>
      <c r="B2075" s="20"/>
      <c r="C2075" s="20"/>
      <c r="D2075" s="20"/>
      <c r="E2075" s="20"/>
      <c r="F2075" s="20"/>
      <c r="G2075" s="20"/>
      <c r="H2075" s="20"/>
      <c r="I2075" s="20"/>
      <c r="J2075" s="20"/>
      <c r="K2075" s="20"/>
      <c r="L2075" s="20"/>
      <c r="M2075" s="20"/>
      <c r="N2075" s="20"/>
      <c r="O2075" s="20"/>
      <c r="P2075" s="20"/>
      <c r="Q2075" s="20"/>
      <c r="R2075" s="20"/>
      <c r="S2075" s="20"/>
      <c r="T2075" s="20"/>
      <c r="U2075" s="20"/>
      <c r="V2075" s="20"/>
      <c r="W2075" s="20"/>
      <c r="X2075" s="20"/>
      <c r="Y2075" s="20"/>
    </row>
    <row r="2076" spans="1:25" x14ac:dyDescent="0.3">
      <c r="A2076" s="20"/>
      <c r="B2076" s="20"/>
      <c r="C2076" s="20"/>
      <c r="D2076" s="20"/>
      <c r="E2076" s="20"/>
      <c r="F2076" s="20"/>
      <c r="G2076" s="20"/>
      <c r="H2076" s="20"/>
      <c r="I2076" s="20"/>
      <c r="J2076" s="20"/>
      <c r="K2076" s="20"/>
      <c r="L2076" s="20"/>
      <c r="M2076" s="20"/>
      <c r="N2076" s="20"/>
      <c r="O2076" s="20"/>
      <c r="P2076" s="20"/>
      <c r="Q2076" s="20"/>
      <c r="R2076" s="20"/>
      <c r="S2076" s="20"/>
      <c r="T2076" s="20"/>
      <c r="U2076" s="20"/>
      <c r="V2076" s="20"/>
      <c r="W2076" s="20"/>
      <c r="X2076" s="20"/>
      <c r="Y2076" s="20"/>
    </row>
    <row r="2077" spans="1:25" x14ac:dyDescent="0.3">
      <c r="A2077" s="20"/>
      <c r="B2077" s="20"/>
      <c r="C2077" s="20"/>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row>
    <row r="2078" spans="1:25" x14ac:dyDescent="0.3">
      <c r="A2078" s="20"/>
      <c r="B2078" s="20"/>
      <c r="C2078" s="20"/>
      <c r="D2078" s="20"/>
      <c r="E2078" s="20"/>
      <c r="F2078" s="20"/>
      <c r="G2078" s="20"/>
      <c r="H2078" s="20"/>
      <c r="I2078" s="20"/>
      <c r="J2078" s="20"/>
      <c r="K2078" s="20"/>
      <c r="L2078" s="20"/>
      <c r="M2078" s="20"/>
      <c r="N2078" s="20"/>
      <c r="O2078" s="20"/>
      <c r="P2078" s="20"/>
      <c r="Q2078" s="20"/>
      <c r="R2078" s="20"/>
      <c r="S2078" s="20"/>
      <c r="T2078" s="20"/>
      <c r="U2078" s="20"/>
      <c r="V2078" s="20"/>
      <c r="W2078" s="20"/>
      <c r="X2078" s="20"/>
      <c r="Y2078" s="20"/>
    </row>
    <row r="2079" spans="1:25" x14ac:dyDescent="0.3">
      <c r="A2079" s="20"/>
      <c r="B2079" s="20"/>
      <c r="C2079" s="20"/>
      <c r="D2079" s="20"/>
      <c r="E2079" s="20"/>
      <c r="F2079" s="20"/>
      <c r="G2079" s="20"/>
      <c r="H2079" s="20"/>
      <c r="I2079" s="20"/>
      <c r="J2079" s="20"/>
      <c r="K2079" s="20"/>
      <c r="L2079" s="20"/>
      <c r="M2079" s="20"/>
      <c r="N2079" s="20"/>
      <c r="O2079" s="20"/>
      <c r="P2079" s="20"/>
      <c r="Q2079" s="20"/>
      <c r="R2079" s="20"/>
      <c r="S2079" s="20"/>
      <c r="T2079" s="20"/>
      <c r="U2079" s="20"/>
      <c r="V2079" s="20"/>
      <c r="W2079" s="20"/>
      <c r="X2079" s="20"/>
      <c r="Y2079" s="20"/>
    </row>
    <row r="2080" spans="1:25" x14ac:dyDescent="0.3">
      <c r="A2080" s="20"/>
      <c r="B2080" s="20"/>
      <c r="C2080" s="20"/>
      <c r="D2080" s="20"/>
      <c r="E2080" s="20"/>
      <c r="F2080" s="20"/>
      <c r="G2080" s="20"/>
      <c r="H2080" s="20"/>
      <c r="I2080" s="20"/>
      <c r="J2080" s="20"/>
      <c r="K2080" s="20"/>
      <c r="L2080" s="20"/>
      <c r="M2080" s="20"/>
      <c r="N2080" s="20"/>
      <c r="O2080" s="20"/>
      <c r="P2080" s="20"/>
      <c r="Q2080" s="20"/>
      <c r="R2080" s="20"/>
      <c r="S2080" s="20"/>
      <c r="T2080" s="20"/>
      <c r="U2080" s="20"/>
      <c r="V2080" s="20"/>
      <c r="W2080" s="20"/>
      <c r="X2080" s="20"/>
      <c r="Y2080" s="20"/>
    </row>
    <row r="2081" spans="1:25" x14ac:dyDescent="0.3">
      <c r="A2081" s="20"/>
      <c r="B2081" s="20"/>
      <c r="C2081" s="20"/>
      <c r="D2081" s="20"/>
      <c r="E2081" s="20"/>
      <c r="F2081" s="20"/>
      <c r="G2081" s="20"/>
      <c r="H2081" s="20"/>
      <c r="I2081" s="20"/>
      <c r="J2081" s="20"/>
      <c r="K2081" s="20"/>
      <c r="L2081" s="20"/>
      <c r="M2081" s="20"/>
      <c r="N2081" s="20"/>
      <c r="O2081" s="20"/>
      <c r="P2081" s="20"/>
      <c r="Q2081" s="20"/>
      <c r="R2081" s="20"/>
      <c r="S2081" s="20"/>
      <c r="T2081" s="20"/>
      <c r="U2081" s="20"/>
      <c r="V2081" s="20"/>
      <c r="W2081" s="20"/>
      <c r="X2081" s="20"/>
      <c r="Y2081" s="20"/>
    </row>
    <row r="2082" spans="1:25" x14ac:dyDescent="0.3">
      <c r="A2082" s="20"/>
      <c r="B2082" s="20"/>
      <c r="C2082" s="20"/>
      <c r="D2082" s="20"/>
      <c r="E2082" s="20"/>
      <c r="F2082" s="20"/>
      <c r="G2082" s="20"/>
      <c r="H2082" s="20"/>
      <c r="I2082" s="20"/>
      <c r="J2082" s="20"/>
      <c r="K2082" s="20"/>
      <c r="L2082" s="20"/>
      <c r="M2082" s="20"/>
      <c r="N2082" s="20"/>
      <c r="O2082" s="20"/>
      <c r="P2082" s="20"/>
      <c r="Q2082" s="20"/>
      <c r="R2082" s="20"/>
      <c r="S2082" s="20"/>
      <c r="T2082" s="20"/>
      <c r="U2082" s="20"/>
      <c r="V2082" s="20"/>
      <c r="W2082" s="20"/>
      <c r="X2082" s="20"/>
      <c r="Y2082" s="20"/>
    </row>
    <row r="2083" spans="1:25" x14ac:dyDescent="0.3">
      <c r="A2083" s="20"/>
      <c r="B2083" s="20"/>
      <c r="C2083" s="20"/>
      <c r="D2083" s="20"/>
      <c r="E2083" s="20"/>
      <c r="F2083" s="20"/>
      <c r="G2083" s="20"/>
      <c r="H2083" s="20"/>
      <c r="I2083" s="20"/>
      <c r="J2083" s="20"/>
      <c r="K2083" s="20"/>
      <c r="L2083" s="20"/>
      <c r="M2083" s="20"/>
      <c r="N2083" s="20"/>
      <c r="O2083" s="20"/>
      <c r="P2083" s="20"/>
      <c r="Q2083" s="20"/>
      <c r="R2083" s="20"/>
      <c r="S2083" s="20"/>
      <c r="T2083" s="20"/>
      <c r="U2083" s="20"/>
      <c r="V2083" s="20"/>
      <c r="W2083" s="20"/>
      <c r="X2083" s="20"/>
      <c r="Y2083" s="20"/>
    </row>
    <row r="2084" spans="1:25" x14ac:dyDescent="0.3">
      <c r="A2084" s="20"/>
      <c r="B2084" s="20"/>
      <c r="C2084" s="20"/>
      <c r="D2084" s="20"/>
      <c r="E2084" s="20"/>
      <c r="F2084" s="20"/>
      <c r="G2084" s="20"/>
      <c r="H2084" s="20"/>
      <c r="I2084" s="20"/>
      <c r="J2084" s="20"/>
      <c r="K2084" s="20"/>
      <c r="L2084" s="20"/>
      <c r="M2084" s="20"/>
      <c r="N2084" s="20"/>
      <c r="O2084" s="20"/>
      <c r="P2084" s="20"/>
      <c r="Q2084" s="20"/>
      <c r="R2084" s="20"/>
      <c r="S2084" s="20"/>
      <c r="T2084" s="20"/>
      <c r="U2084" s="20"/>
      <c r="V2084" s="20"/>
      <c r="W2084" s="20"/>
      <c r="X2084" s="20"/>
      <c r="Y2084" s="20"/>
    </row>
    <row r="2085" spans="1:25" x14ac:dyDescent="0.3">
      <c r="A2085" s="20"/>
      <c r="B2085" s="20"/>
      <c r="C2085" s="20"/>
      <c r="D2085" s="20"/>
      <c r="E2085" s="20"/>
      <c r="F2085" s="20"/>
      <c r="G2085" s="20"/>
      <c r="H2085" s="20"/>
      <c r="I2085" s="20"/>
      <c r="J2085" s="20"/>
      <c r="K2085" s="20"/>
      <c r="L2085" s="20"/>
      <c r="M2085" s="20"/>
      <c r="N2085" s="20"/>
      <c r="O2085" s="20"/>
      <c r="P2085" s="20"/>
      <c r="Q2085" s="20"/>
      <c r="R2085" s="20"/>
      <c r="S2085" s="20"/>
      <c r="T2085" s="20"/>
      <c r="U2085" s="20"/>
      <c r="V2085" s="20"/>
      <c r="W2085" s="20"/>
      <c r="X2085" s="20"/>
      <c r="Y2085" s="20"/>
    </row>
    <row r="2086" spans="1:25" x14ac:dyDescent="0.3">
      <c r="A2086" s="20"/>
      <c r="B2086" s="20"/>
      <c r="C2086" s="20"/>
      <c r="D2086" s="20"/>
      <c r="E2086" s="20"/>
      <c r="F2086" s="20"/>
      <c r="G2086" s="20"/>
      <c r="H2086" s="20"/>
      <c r="I2086" s="20"/>
      <c r="J2086" s="20"/>
      <c r="K2086" s="20"/>
      <c r="L2086" s="20"/>
      <c r="M2086" s="20"/>
      <c r="N2086" s="20"/>
      <c r="O2086" s="20"/>
      <c r="P2086" s="20"/>
      <c r="Q2086" s="20"/>
      <c r="R2086" s="20"/>
      <c r="S2086" s="20"/>
      <c r="T2086" s="20"/>
      <c r="U2086" s="20"/>
      <c r="V2086" s="20"/>
      <c r="W2086" s="20"/>
      <c r="X2086" s="20"/>
      <c r="Y2086" s="20"/>
    </row>
    <row r="2087" spans="1:25" x14ac:dyDescent="0.3">
      <c r="A2087" s="20"/>
      <c r="B2087" s="20"/>
      <c r="C2087" s="20"/>
      <c r="D2087" s="20"/>
      <c r="E2087" s="20"/>
      <c r="F2087" s="20"/>
      <c r="G2087" s="20"/>
      <c r="H2087" s="20"/>
      <c r="I2087" s="20"/>
      <c r="J2087" s="20"/>
      <c r="K2087" s="20"/>
      <c r="L2087" s="20"/>
      <c r="M2087" s="20"/>
      <c r="N2087" s="20"/>
      <c r="O2087" s="20"/>
      <c r="P2087" s="20"/>
      <c r="Q2087" s="20"/>
      <c r="R2087" s="20"/>
      <c r="S2087" s="20"/>
      <c r="T2087" s="20"/>
      <c r="U2087" s="20"/>
      <c r="V2087" s="20"/>
      <c r="W2087" s="20"/>
      <c r="X2087" s="20"/>
      <c r="Y2087" s="20"/>
    </row>
    <row r="2088" spans="1:25" x14ac:dyDescent="0.3">
      <c r="A2088" s="20"/>
      <c r="B2088" s="20"/>
      <c r="C2088" s="20"/>
      <c r="D2088" s="20"/>
      <c r="E2088" s="20"/>
      <c r="F2088" s="20"/>
      <c r="G2088" s="20"/>
      <c r="H2088" s="20"/>
      <c r="I2088" s="20"/>
      <c r="J2088" s="20"/>
      <c r="K2088" s="20"/>
      <c r="L2088" s="20"/>
      <c r="M2088" s="20"/>
      <c r="N2088" s="20"/>
      <c r="O2088" s="20"/>
      <c r="P2088" s="20"/>
      <c r="Q2088" s="20"/>
      <c r="R2088" s="20"/>
      <c r="S2088" s="20"/>
      <c r="T2088" s="20"/>
      <c r="U2088" s="20"/>
      <c r="V2088" s="20"/>
      <c r="W2088" s="20"/>
      <c r="X2088" s="20"/>
      <c r="Y2088" s="20"/>
    </row>
    <row r="2089" spans="1:25" x14ac:dyDescent="0.3">
      <c r="A2089" s="20"/>
      <c r="B2089" s="20"/>
      <c r="C2089" s="20"/>
      <c r="D2089" s="20"/>
      <c r="E2089" s="20"/>
      <c r="F2089" s="20"/>
      <c r="G2089" s="20"/>
      <c r="H2089" s="20"/>
      <c r="I2089" s="20"/>
      <c r="J2089" s="20"/>
      <c r="K2089" s="20"/>
      <c r="L2089" s="20"/>
      <c r="M2089" s="20"/>
      <c r="N2089" s="20"/>
      <c r="O2089" s="20"/>
      <c r="P2089" s="20"/>
      <c r="Q2089" s="20"/>
      <c r="R2089" s="20"/>
      <c r="S2089" s="20"/>
      <c r="T2089" s="20"/>
      <c r="U2089" s="20"/>
      <c r="V2089" s="20"/>
      <c r="W2089" s="20"/>
      <c r="X2089" s="20"/>
      <c r="Y2089" s="20"/>
    </row>
    <row r="2090" spans="1:25" x14ac:dyDescent="0.3">
      <c r="A2090" s="20"/>
      <c r="B2090" s="20"/>
      <c r="C2090" s="20"/>
      <c r="D2090" s="20"/>
      <c r="E2090" s="20"/>
      <c r="F2090" s="20"/>
      <c r="G2090" s="20"/>
      <c r="H2090" s="20"/>
      <c r="I2090" s="20"/>
      <c r="J2090" s="20"/>
      <c r="K2090" s="20"/>
      <c r="L2090" s="20"/>
      <c r="M2090" s="20"/>
      <c r="N2090" s="20"/>
      <c r="O2090" s="20"/>
      <c r="P2090" s="20"/>
      <c r="Q2090" s="20"/>
      <c r="R2090" s="20"/>
      <c r="S2090" s="20"/>
      <c r="T2090" s="20"/>
      <c r="U2090" s="20"/>
      <c r="V2090" s="20"/>
      <c r="W2090" s="20"/>
      <c r="X2090" s="20"/>
      <c r="Y2090" s="20"/>
    </row>
    <row r="2091" spans="1:25" x14ac:dyDescent="0.3">
      <c r="A2091" s="20"/>
      <c r="B2091" s="20"/>
      <c r="C2091" s="20"/>
      <c r="D2091" s="20"/>
      <c r="E2091" s="20"/>
      <c r="F2091" s="20"/>
      <c r="G2091" s="20"/>
      <c r="H2091" s="20"/>
      <c r="I2091" s="20"/>
      <c r="J2091" s="20"/>
      <c r="K2091" s="20"/>
      <c r="L2091" s="20"/>
      <c r="M2091" s="20"/>
      <c r="N2091" s="20"/>
      <c r="O2091" s="20"/>
      <c r="P2091" s="20"/>
      <c r="Q2091" s="20"/>
      <c r="R2091" s="20"/>
      <c r="S2091" s="20"/>
      <c r="T2091" s="20"/>
      <c r="U2091" s="20"/>
      <c r="V2091" s="20"/>
      <c r="W2091" s="20"/>
      <c r="X2091" s="20"/>
      <c r="Y2091" s="20"/>
    </row>
    <row r="2092" spans="1:25" x14ac:dyDescent="0.3">
      <c r="A2092" s="20"/>
      <c r="B2092" s="20"/>
      <c r="C2092" s="20"/>
      <c r="D2092" s="20"/>
      <c r="E2092" s="20"/>
      <c r="F2092" s="20"/>
      <c r="G2092" s="20"/>
      <c r="H2092" s="20"/>
      <c r="I2092" s="20"/>
      <c r="J2092" s="20"/>
      <c r="K2092" s="20"/>
      <c r="L2092" s="20"/>
      <c r="M2092" s="20"/>
      <c r="N2092" s="20"/>
      <c r="O2092" s="20"/>
      <c r="P2092" s="20"/>
      <c r="Q2092" s="20"/>
      <c r="R2092" s="20"/>
      <c r="S2092" s="20"/>
      <c r="T2092" s="20"/>
      <c r="U2092" s="20"/>
      <c r="V2092" s="20"/>
      <c r="W2092" s="20"/>
      <c r="X2092" s="20"/>
      <c r="Y2092" s="20"/>
    </row>
    <row r="2093" spans="1:25" x14ac:dyDescent="0.3">
      <c r="A2093" s="20"/>
      <c r="B2093" s="20"/>
      <c r="C2093" s="20"/>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row>
    <row r="2094" spans="1:25" x14ac:dyDescent="0.3">
      <c r="A2094" s="20"/>
      <c r="B2094" s="20"/>
      <c r="C2094" s="20"/>
      <c r="D2094" s="20"/>
      <c r="E2094" s="20"/>
      <c r="F2094" s="20"/>
      <c r="G2094" s="20"/>
      <c r="H2094" s="20"/>
      <c r="I2094" s="20"/>
      <c r="J2094" s="20"/>
      <c r="K2094" s="20"/>
      <c r="L2094" s="20"/>
      <c r="M2094" s="20"/>
      <c r="N2094" s="20"/>
      <c r="O2094" s="20"/>
      <c r="P2094" s="20"/>
      <c r="Q2094" s="20"/>
      <c r="R2094" s="20"/>
      <c r="S2094" s="20"/>
      <c r="T2094" s="20"/>
      <c r="U2094" s="20"/>
      <c r="V2094" s="20"/>
      <c r="W2094" s="20"/>
      <c r="X2094" s="20"/>
      <c r="Y2094" s="20"/>
    </row>
    <row r="2095" spans="1:25" x14ac:dyDescent="0.3">
      <c r="A2095" s="20"/>
      <c r="B2095" s="20"/>
      <c r="C2095" s="20"/>
      <c r="D2095" s="20"/>
      <c r="E2095" s="20"/>
      <c r="F2095" s="20"/>
      <c r="G2095" s="20"/>
      <c r="H2095" s="20"/>
      <c r="I2095" s="20"/>
      <c r="J2095" s="20"/>
      <c r="K2095" s="20"/>
      <c r="L2095" s="20"/>
      <c r="M2095" s="20"/>
      <c r="N2095" s="20"/>
      <c r="O2095" s="20"/>
      <c r="P2095" s="20"/>
      <c r="Q2095" s="20"/>
      <c r="R2095" s="20"/>
      <c r="S2095" s="20"/>
      <c r="T2095" s="20"/>
      <c r="U2095" s="20"/>
      <c r="V2095" s="20"/>
      <c r="W2095" s="20"/>
      <c r="X2095" s="20"/>
      <c r="Y2095" s="20"/>
    </row>
    <row r="2096" spans="1:25" x14ac:dyDescent="0.3">
      <c r="A2096" s="20"/>
      <c r="B2096" s="20"/>
      <c r="C2096" s="20"/>
      <c r="D2096" s="20"/>
      <c r="E2096" s="20"/>
      <c r="F2096" s="20"/>
      <c r="G2096" s="20"/>
      <c r="H2096" s="20"/>
      <c r="I2096" s="20"/>
      <c r="J2096" s="20"/>
      <c r="K2096" s="20"/>
      <c r="L2096" s="20"/>
      <c r="M2096" s="20"/>
      <c r="N2096" s="20"/>
      <c r="O2096" s="20"/>
      <c r="P2096" s="20"/>
      <c r="Q2096" s="20"/>
      <c r="R2096" s="20"/>
      <c r="S2096" s="20"/>
      <c r="T2096" s="20"/>
      <c r="U2096" s="20"/>
      <c r="V2096" s="20"/>
      <c r="W2096" s="20"/>
      <c r="X2096" s="20"/>
      <c r="Y2096" s="20"/>
    </row>
    <row r="2097" spans="1:25" x14ac:dyDescent="0.3">
      <c r="A2097" s="20"/>
      <c r="B2097" s="20"/>
      <c r="C2097" s="20"/>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row>
    <row r="2098" spans="1:25" x14ac:dyDescent="0.3">
      <c r="A2098" s="20"/>
      <c r="B2098" s="20"/>
      <c r="C2098" s="20"/>
      <c r="D2098" s="20"/>
      <c r="E2098" s="20"/>
      <c r="F2098" s="20"/>
      <c r="G2098" s="20"/>
      <c r="H2098" s="20"/>
      <c r="I2098" s="20"/>
      <c r="J2098" s="20"/>
      <c r="K2098" s="20"/>
      <c r="L2098" s="20"/>
      <c r="M2098" s="20"/>
      <c r="N2098" s="20"/>
      <c r="O2098" s="20"/>
      <c r="P2098" s="20"/>
      <c r="Q2098" s="20"/>
      <c r="R2098" s="20"/>
      <c r="S2098" s="20"/>
      <c r="T2098" s="20"/>
      <c r="U2098" s="20"/>
      <c r="V2098" s="20"/>
      <c r="W2098" s="20"/>
      <c r="X2098" s="20"/>
      <c r="Y2098" s="20"/>
    </row>
    <row r="2099" spans="1:25" x14ac:dyDescent="0.3">
      <c r="A2099" s="20"/>
      <c r="B2099" s="20"/>
      <c r="C2099" s="20"/>
      <c r="D2099" s="20"/>
      <c r="E2099" s="20"/>
      <c r="F2099" s="20"/>
      <c r="G2099" s="20"/>
      <c r="H2099" s="20"/>
      <c r="I2099" s="20"/>
      <c r="J2099" s="20"/>
      <c r="K2099" s="20"/>
      <c r="L2099" s="20"/>
      <c r="M2099" s="20"/>
      <c r="N2099" s="20"/>
      <c r="O2099" s="20"/>
      <c r="P2099" s="20"/>
      <c r="Q2099" s="20"/>
      <c r="R2099" s="20"/>
      <c r="S2099" s="20"/>
      <c r="T2099" s="20"/>
      <c r="U2099" s="20"/>
      <c r="V2099" s="20"/>
      <c r="W2099" s="20"/>
      <c r="X2099" s="20"/>
      <c r="Y2099" s="20"/>
    </row>
    <row r="2100" spans="1:25" x14ac:dyDescent="0.3">
      <c r="A2100" s="20"/>
      <c r="B2100" s="20"/>
      <c r="C2100" s="20"/>
      <c r="D2100" s="20"/>
      <c r="E2100" s="20"/>
      <c r="F2100" s="20"/>
      <c r="G2100" s="20"/>
      <c r="H2100" s="20"/>
      <c r="I2100" s="20"/>
      <c r="J2100" s="20"/>
      <c r="K2100" s="20"/>
      <c r="L2100" s="20"/>
      <c r="M2100" s="20"/>
      <c r="N2100" s="20"/>
      <c r="O2100" s="20"/>
      <c r="P2100" s="20"/>
      <c r="Q2100" s="20"/>
      <c r="R2100" s="20"/>
      <c r="S2100" s="20"/>
      <c r="T2100" s="20"/>
      <c r="U2100" s="20"/>
      <c r="V2100" s="20"/>
      <c r="W2100" s="20"/>
      <c r="X2100" s="20"/>
      <c r="Y2100" s="20"/>
    </row>
    <row r="2101" spans="1:25" x14ac:dyDescent="0.3">
      <c r="A2101" s="20"/>
      <c r="B2101" s="20"/>
      <c r="C2101" s="20"/>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row>
    <row r="2102" spans="1:25" x14ac:dyDescent="0.3">
      <c r="A2102" s="20"/>
      <c r="B2102" s="20"/>
      <c r="C2102" s="20"/>
      <c r="D2102" s="20"/>
      <c r="E2102" s="20"/>
      <c r="F2102" s="20"/>
      <c r="G2102" s="20"/>
      <c r="H2102" s="20"/>
      <c r="I2102" s="20"/>
      <c r="J2102" s="20"/>
      <c r="K2102" s="20"/>
      <c r="L2102" s="20"/>
      <c r="M2102" s="20"/>
      <c r="N2102" s="20"/>
      <c r="O2102" s="20"/>
      <c r="P2102" s="20"/>
      <c r="Q2102" s="20"/>
      <c r="R2102" s="20"/>
      <c r="S2102" s="20"/>
      <c r="T2102" s="20"/>
      <c r="U2102" s="20"/>
      <c r="V2102" s="20"/>
      <c r="W2102" s="20"/>
      <c r="X2102" s="20"/>
      <c r="Y2102" s="20"/>
    </row>
    <row r="2103" spans="1:25" x14ac:dyDescent="0.3">
      <c r="A2103" s="20"/>
      <c r="B2103" s="20"/>
      <c r="C2103" s="20"/>
      <c r="D2103" s="20"/>
      <c r="E2103" s="20"/>
      <c r="F2103" s="20"/>
      <c r="G2103" s="20"/>
      <c r="H2103" s="20"/>
      <c r="I2103" s="20"/>
      <c r="J2103" s="20"/>
      <c r="K2103" s="20"/>
      <c r="L2103" s="20"/>
      <c r="M2103" s="20"/>
      <c r="N2103" s="20"/>
      <c r="O2103" s="20"/>
      <c r="P2103" s="20"/>
      <c r="Q2103" s="20"/>
      <c r="R2103" s="20"/>
      <c r="S2103" s="20"/>
      <c r="T2103" s="20"/>
      <c r="U2103" s="20"/>
      <c r="V2103" s="20"/>
      <c r="W2103" s="20"/>
      <c r="X2103" s="20"/>
      <c r="Y2103" s="20"/>
    </row>
    <row r="2104" spans="1:25" x14ac:dyDescent="0.3">
      <c r="A2104" s="20"/>
      <c r="B2104" s="20"/>
      <c r="C2104" s="20"/>
      <c r="D2104" s="20"/>
      <c r="E2104" s="20"/>
      <c r="F2104" s="20"/>
      <c r="G2104" s="20"/>
      <c r="H2104" s="20"/>
      <c r="I2104" s="20"/>
      <c r="J2104" s="20"/>
      <c r="K2104" s="20"/>
      <c r="L2104" s="20"/>
      <c r="M2104" s="20"/>
      <c r="N2104" s="20"/>
      <c r="O2104" s="20"/>
      <c r="P2104" s="20"/>
      <c r="Q2104" s="20"/>
      <c r="R2104" s="20"/>
      <c r="S2104" s="20"/>
      <c r="T2104" s="20"/>
      <c r="U2104" s="20"/>
      <c r="V2104" s="20"/>
      <c r="W2104" s="20"/>
      <c r="X2104" s="20"/>
      <c r="Y2104" s="20"/>
    </row>
    <row r="2105" spans="1:25" x14ac:dyDescent="0.3">
      <c r="A2105" s="20"/>
      <c r="B2105" s="20"/>
      <c r="C2105" s="20"/>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row>
    <row r="2106" spans="1:25" x14ac:dyDescent="0.3">
      <c r="A2106" s="20"/>
      <c r="B2106" s="20"/>
      <c r="C2106" s="20"/>
      <c r="D2106" s="20"/>
      <c r="E2106" s="20"/>
      <c r="F2106" s="20"/>
      <c r="G2106" s="20"/>
      <c r="H2106" s="20"/>
      <c r="I2106" s="20"/>
      <c r="J2106" s="20"/>
      <c r="K2106" s="20"/>
      <c r="L2106" s="20"/>
      <c r="M2106" s="20"/>
      <c r="N2106" s="20"/>
      <c r="O2106" s="20"/>
      <c r="P2106" s="20"/>
      <c r="Q2106" s="20"/>
      <c r="R2106" s="20"/>
      <c r="S2106" s="20"/>
      <c r="T2106" s="20"/>
      <c r="U2106" s="20"/>
      <c r="V2106" s="20"/>
      <c r="W2106" s="20"/>
      <c r="X2106" s="20"/>
      <c r="Y2106" s="20"/>
    </row>
    <row r="2107" spans="1:25" x14ac:dyDescent="0.3">
      <c r="A2107" s="20"/>
      <c r="B2107" s="20"/>
      <c r="C2107" s="20"/>
      <c r="D2107" s="20"/>
      <c r="E2107" s="20"/>
      <c r="F2107" s="20"/>
      <c r="G2107" s="20"/>
      <c r="H2107" s="20"/>
      <c r="I2107" s="20"/>
      <c r="J2107" s="20"/>
      <c r="K2107" s="20"/>
      <c r="L2107" s="20"/>
      <c r="M2107" s="20"/>
      <c r="N2107" s="20"/>
      <c r="O2107" s="20"/>
      <c r="P2107" s="20"/>
      <c r="Q2107" s="20"/>
      <c r="R2107" s="20"/>
      <c r="S2107" s="20"/>
      <c r="T2107" s="20"/>
      <c r="U2107" s="20"/>
      <c r="V2107" s="20"/>
      <c r="W2107" s="20"/>
      <c r="X2107" s="20"/>
      <c r="Y2107" s="20"/>
    </row>
    <row r="2108" spans="1:25" x14ac:dyDescent="0.3">
      <c r="A2108" s="20"/>
      <c r="B2108" s="20"/>
      <c r="C2108" s="20"/>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row>
    <row r="2109" spans="1:25" x14ac:dyDescent="0.3">
      <c r="A2109" s="20"/>
      <c r="B2109" s="20"/>
      <c r="C2109" s="20"/>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row>
    <row r="2110" spans="1:25" x14ac:dyDescent="0.3">
      <c r="A2110" s="20"/>
      <c r="B2110" s="20"/>
      <c r="C2110" s="20"/>
      <c r="D2110" s="20"/>
      <c r="E2110" s="20"/>
      <c r="F2110" s="20"/>
      <c r="G2110" s="20"/>
      <c r="H2110" s="20"/>
      <c r="I2110" s="20"/>
      <c r="J2110" s="20"/>
      <c r="K2110" s="20"/>
      <c r="L2110" s="20"/>
      <c r="M2110" s="20"/>
      <c r="N2110" s="20"/>
      <c r="O2110" s="20"/>
      <c r="P2110" s="20"/>
      <c r="Q2110" s="20"/>
      <c r="R2110" s="20"/>
      <c r="S2110" s="20"/>
      <c r="T2110" s="20"/>
      <c r="U2110" s="20"/>
      <c r="V2110" s="20"/>
      <c r="W2110" s="20"/>
      <c r="X2110" s="20"/>
      <c r="Y2110" s="20"/>
    </row>
    <row r="2111" spans="1:25" x14ac:dyDescent="0.3">
      <c r="A2111" s="20"/>
      <c r="B2111" s="20"/>
      <c r="C2111" s="20"/>
      <c r="D2111" s="20"/>
      <c r="E2111" s="20"/>
      <c r="F2111" s="20"/>
      <c r="G2111" s="20"/>
      <c r="H2111" s="20"/>
      <c r="I2111" s="20"/>
      <c r="J2111" s="20"/>
      <c r="K2111" s="20"/>
      <c r="L2111" s="20"/>
      <c r="M2111" s="20"/>
      <c r="N2111" s="20"/>
      <c r="O2111" s="20"/>
      <c r="P2111" s="20"/>
      <c r="Q2111" s="20"/>
      <c r="R2111" s="20"/>
      <c r="S2111" s="20"/>
      <c r="T2111" s="20"/>
      <c r="U2111" s="20"/>
      <c r="V2111" s="20"/>
      <c r="W2111" s="20"/>
      <c r="X2111" s="20"/>
      <c r="Y2111" s="20"/>
    </row>
    <row r="2112" spans="1:25" x14ac:dyDescent="0.3">
      <c r="A2112" s="20"/>
      <c r="B2112" s="20"/>
      <c r="C2112" s="20"/>
      <c r="D2112" s="20"/>
      <c r="E2112" s="20"/>
      <c r="F2112" s="20"/>
      <c r="G2112" s="20"/>
      <c r="H2112" s="20"/>
      <c r="I2112" s="20"/>
      <c r="J2112" s="20"/>
      <c r="K2112" s="20"/>
      <c r="L2112" s="20"/>
      <c r="M2112" s="20"/>
      <c r="N2112" s="20"/>
      <c r="O2112" s="20"/>
      <c r="P2112" s="20"/>
      <c r="Q2112" s="20"/>
      <c r="R2112" s="20"/>
      <c r="S2112" s="20"/>
      <c r="T2112" s="20"/>
      <c r="U2112" s="20"/>
      <c r="V2112" s="20"/>
      <c r="W2112" s="20"/>
      <c r="X2112" s="20"/>
      <c r="Y2112" s="20"/>
    </row>
    <row r="2113" spans="1:25" x14ac:dyDescent="0.3">
      <c r="A2113" s="20"/>
      <c r="B2113" s="20"/>
      <c r="C2113" s="20"/>
      <c r="D2113" s="20"/>
      <c r="E2113" s="20"/>
      <c r="F2113" s="20"/>
      <c r="G2113" s="20"/>
      <c r="H2113" s="20"/>
      <c r="I2113" s="20"/>
      <c r="J2113" s="20"/>
      <c r="K2113" s="20"/>
      <c r="L2113" s="20"/>
      <c r="M2113" s="20"/>
      <c r="N2113" s="20"/>
      <c r="O2113" s="20"/>
      <c r="P2113" s="20"/>
      <c r="Q2113" s="20"/>
      <c r="R2113" s="20"/>
      <c r="S2113" s="20"/>
      <c r="T2113" s="20"/>
      <c r="U2113" s="20"/>
      <c r="V2113" s="20"/>
      <c r="W2113" s="20"/>
      <c r="X2113" s="20"/>
      <c r="Y2113" s="20"/>
    </row>
    <row r="2114" spans="1:25" x14ac:dyDescent="0.3">
      <c r="A2114" s="20"/>
      <c r="B2114" s="20"/>
      <c r="C2114" s="20"/>
      <c r="D2114" s="20"/>
      <c r="E2114" s="20"/>
      <c r="F2114" s="20"/>
      <c r="G2114" s="20"/>
      <c r="H2114" s="20"/>
      <c r="I2114" s="20"/>
      <c r="J2114" s="20"/>
      <c r="K2114" s="20"/>
      <c r="L2114" s="20"/>
      <c r="M2114" s="20"/>
      <c r="N2114" s="20"/>
      <c r="O2114" s="20"/>
      <c r="P2114" s="20"/>
      <c r="Q2114" s="20"/>
      <c r="R2114" s="20"/>
      <c r="S2114" s="20"/>
      <c r="T2114" s="20"/>
      <c r="U2114" s="20"/>
      <c r="V2114" s="20"/>
      <c r="W2114" s="20"/>
      <c r="X2114" s="20"/>
      <c r="Y2114" s="20"/>
    </row>
    <row r="2115" spans="1:25" x14ac:dyDescent="0.3">
      <c r="A2115" s="20"/>
      <c r="B2115" s="20"/>
      <c r="C2115" s="20"/>
      <c r="D2115" s="20"/>
      <c r="E2115" s="20"/>
      <c r="F2115" s="20"/>
      <c r="G2115" s="20"/>
      <c r="H2115" s="20"/>
      <c r="I2115" s="20"/>
      <c r="J2115" s="20"/>
      <c r="K2115" s="20"/>
      <c r="L2115" s="20"/>
      <c r="M2115" s="20"/>
      <c r="N2115" s="20"/>
      <c r="O2115" s="20"/>
      <c r="P2115" s="20"/>
      <c r="Q2115" s="20"/>
      <c r="R2115" s="20"/>
      <c r="S2115" s="20"/>
      <c r="T2115" s="20"/>
      <c r="U2115" s="20"/>
      <c r="V2115" s="20"/>
      <c r="W2115" s="20"/>
      <c r="X2115" s="20"/>
      <c r="Y2115" s="20"/>
    </row>
    <row r="2116" spans="1:25" x14ac:dyDescent="0.3">
      <c r="A2116" s="20"/>
      <c r="B2116" s="20"/>
      <c r="C2116" s="20"/>
      <c r="D2116" s="20"/>
      <c r="E2116" s="20"/>
      <c r="F2116" s="20"/>
      <c r="G2116" s="20"/>
      <c r="H2116" s="20"/>
      <c r="I2116" s="20"/>
      <c r="J2116" s="20"/>
      <c r="K2116" s="20"/>
      <c r="L2116" s="20"/>
      <c r="M2116" s="20"/>
      <c r="N2116" s="20"/>
      <c r="O2116" s="20"/>
      <c r="P2116" s="20"/>
      <c r="Q2116" s="20"/>
      <c r="R2116" s="20"/>
      <c r="S2116" s="20"/>
      <c r="T2116" s="20"/>
      <c r="U2116" s="20"/>
      <c r="V2116" s="20"/>
      <c r="W2116" s="20"/>
      <c r="X2116" s="20"/>
      <c r="Y2116" s="20"/>
    </row>
    <row r="2117" spans="1:25" x14ac:dyDescent="0.3">
      <c r="A2117" s="20"/>
      <c r="B2117" s="20"/>
      <c r="C2117" s="20"/>
      <c r="D2117" s="20"/>
      <c r="E2117" s="20"/>
      <c r="F2117" s="20"/>
      <c r="G2117" s="20"/>
      <c r="H2117" s="20"/>
      <c r="I2117" s="20"/>
      <c r="J2117" s="20"/>
      <c r="K2117" s="20"/>
      <c r="L2117" s="20"/>
      <c r="M2117" s="20"/>
      <c r="N2117" s="20"/>
      <c r="O2117" s="20"/>
      <c r="P2117" s="20"/>
      <c r="Q2117" s="20"/>
      <c r="R2117" s="20"/>
      <c r="S2117" s="20"/>
      <c r="T2117" s="20"/>
      <c r="U2117" s="20"/>
      <c r="V2117" s="20"/>
      <c r="W2117" s="20"/>
      <c r="X2117" s="20"/>
      <c r="Y2117" s="20"/>
    </row>
    <row r="2118" spans="1:25" x14ac:dyDescent="0.3">
      <c r="A2118" s="20"/>
      <c r="B2118" s="20"/>
      <c r="C2118" s="20"/>
      <c r="D2118" s="20"/>
      <c r="E2118" s="20"/>
      <c r="F2118" s="20"/>
      <c r="G2118" s="20"/>
      <c r="H2118" s="20"/>
      <c r="I2118" s="20"/>
      <c r="J2118" s="20"/>
      <c r="K2118" s="20"/>
      <c r="L2118" s="20"/>
      <c r="M2118" s="20"/>
      <c r="N2118" s="20"/>
      <c r="O2118" s="20"/>
      <c r="P2118" s="20"/>
      <c r="Q2118" s="20"/>
      <c r="R2118" s="20"/>
      <c r="S2118" s="20"/>
      <c r="T2118" s="20"/>
      <c r="U2118" s="20"/>
      <c r="V2118" s="20"/>
      <c r="W2118" s="20"/>
      <c r="X2118" s="20"/>
      <c r="Y2118" s="20"/>
    </row>
    <row r="2119" spans="1:25" x14ac:dyDescent="0.3">
      <c r="A2119" s="20"/>
      <c r="B2119" s="20"/>
      <c r="C2119" s="20"/>
      <c r="D2119" s="20"/>
      <c r="E2119" s="20"/>
      <c r="F2119" s="20"/>
      <c r="G2119" s="20"/>
      <c r="H2119" s="20"/>
      <c r="I2119" s="20"/>
      <c r="J2119" s="20"/>
      <c r="K2119" s="20"/>
      <c r="L2119" s="20"/>
      <c r="M2119" s="20"/>
      <c r="N2119" s="20"/>
      <c r="O2119" s="20"/>
      <c r="P2119" s="20"/>
      <c r="Q2119" s="20"/>
      <c r="R2119" s="20"/>
      <c r="S2119" s="20"/>
      <c r="T2119" s="20"/>
      <c r="U2119" s="20"/>
      <c r="V2119" s="20"/>
      <c r="W2119" s="20"/>
      <c r="X2119" s="20"/>
      <c r="Y2119" s="20"/>
    </row>
    <row r="2120" spans="1:25" x14ac:dyDescent="0.3">
      <c r="A2120" s="20"/>
      <c r="B2120" s="20"/>
      <c r="C2120" s="20"/>
      <c r="D2120" s="20"/>
      <c r="E2120" s="20"/>
      <c r="F2120" s="20"/>
      <c r="G2120" s="20"/>
      <c r="H2120" s="20"/>
      <c r="I2120" s="20"/>
      <c r="J2120" s="20"/>
      <c r="K2120" s="20"/>
      <c r="L2120" s="20"/>
      <c r="M2120" s="20"/>
      <c r="N2120" s="20"/>
      <c r="O2120" s="20"/>
      <c r="P2120" s="20"/>
      <c r="Q2120" s="20"/>
      <c r="R2120" s="20"/>
      <c r="S2120" s="20"/>
      <c r="T2120" s="20"/>
      <c r="U2120" s="20"/>
      <c r="V2120" s="20"/>
      <c r="W2120" s="20"/>
      <c r="X2120" s="20"/>
      <c r="Y2120" s="20"/>
    </row>
    <row r="2121" spans="1:25" x14ac:dyDescent="0.3">
      <c r="A2121" s="20"/>
      <c r="B2121" s="20"/>
      <c r="C2121" s="20"/>
      <c r="D2121" s="20"/>
      <c r="E2121" s="20"/>
      <c r="F2121" s="20"/>
      <c r="G2121" s="20"/>
      <c r="H2121" s="20"/>
      <c r="I2121" s="20"/>
      <c r="J2121" s="20"/>
      <c r="K2121" s="20"/>
      <c r="L2121" s="20"/>
      <c r="M2121" s="20"/>
      <c r="N2121" s="20"/>
      <c r="O2121" s="20"/>
      <c r="P2121" s="20"/>
      <c r="Q2121" s="20"/>
      <c r="R2121" s="20"/>
      <c r="S2121" s="20"/>
      <c r="T2121" s="20"/>
      <c r="U2121" s="20"/>
      <c r="V2121" s="20"/>
      <c r="W2121" s="20"/>
      <c r="X2121" s="20"/>
      <c r="Y2121" s="20"/>
    </row>
    <row r="2122" spans="1:25" x14ac:dyDescent="0.3">
      <c r="A2122" s="20"/>
      <c r="B2122" s="20"/>
      <c r="C2122" s="20"/>
      <c r="D2122" s="20"/>
      <c r="E2122" s="20"/>
      <c r="F2122" s="20"/>
      <c r="G2122" s="20"/>
      <c r="H2122" s="20"/>
      <c r="I2122" s="20"/>
      <c r="J2122" s="20"/>
      <c r="K2122" s="20"/>
      <c r="L2122" s="20"/>
      <c r="M2122" s="20"/>
      <c r="N2122" s="20"/>
      <c r="O2122" s="20"/>
      <c r="P2122" s="20"/>
      <c r="Q2122" s="20"/>
      <c r="R2122" s="20"/>
      <c r="S2122" s="20"/>
      <c r="T2122" s="20"/>
      <c r="U2122" s="20"/>
      <c r="V2122" s="20"/>
      <c r="W2122" s="20"/>
      <c r="X2122" s="20"/>
      <c r="Y2122" s="20"/>
    </row>
    <row r="2123" spans="1:25" x14ac:dyDescent="0.3">
      <c r="A2123" s="20"/>
      <c r="B2123" s="20"/>
      <c r="C2123" s="20"/>
      <c r="D2123" s="20"/>
      <c r="E2123" s="20"/>
      <c r="F2123" s="20"/>
      <c r="G2123" s="20"/>
      <c r="H2123" s="20"/>
      <c r="I2123" s="20"/>
      <c r="J2123" s="20"/>
      <c r="K2123" s="20"/>
      <c r="L2123" s="20"/>
      <c r="M2123" s="20"/>
      <c r="N2123" s="20"/>
      <c r="O2123" s="20"/>
      <c r="P2123" s="20"/>
      <c r="Q2123" s="20"/>
      <c r="R2123" s="20"/>
      <c r="S2123" s="20"/>
      <c r="T2123" s="20"/>
      <c r="U2123" s="20"/>
      <c r="V2123" s="20"/>
      <c r="W2123" s="20"/>
      <c r="X2123" s="20"/>
      <c r="Y2123" s="20"/>
    </row>
    <row r="2124" spans="1:25" x14ac:dyDescent="0.3">
      <c r="A2124" s="20"/>
      <c r="B2124" s="20"/>
      <c r="C2124" s="20"/>
      <c r="D2124" s="20"/>
      <c r="E2124" s="20"/>
      <c r="F2124" s="20"/>
      <c r="G2124" s="20"/>
      <c r="H2124" s="20"/>
      <c r="I2124" s="20"/>
      <c r="J2124" s="20"/>
      <c r="K2124" s="20"/>
      <c r="L2124" s="20"/>
      <c r="M2124" s="20"/>
      <c r="N2124" s="20"/>
      <c r="O2124" s="20"/>
      <c r="P2124" s="20"/>
      <c r="Q2124" s="20"/>
      <c r="R2124" s="20"/>
      <c r="S2124" s="20"/>
      <c r="T2124" s="20"/>
      <c r="U2124" s="20"/>
      <c r="V2124" s="20"/>
      <c r="W2124" s="20"/>
      <c r="X2124" s="20"/>
      <c r="Y2124" s="20"/>
    </row>
    <row r="2125" spans="1:25" x14ac:dyDescent="0.3">
      <c r="A2125" s="20"/>
      <c r="B2125" s="20"/>
      <c r="C2125" s="20"/>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row>
    <row r="2126" spans="1:25" x14ac:dyDescent="0.3">
      <c r="A2126" s="20"/>
      <c r="B2126" s="20"/>
      <c r="C2126" s="20"/>
      <c r="D2126" s="20"/>
      <c r="E2126" s="20"/>
      <c r="F2126" s="20"/>
      <c r="G2126" s="20"/>
      <c r="H2126" s="20"/>
      <c r="I2126" s="20"/>
      <c r="J2126" s="20"/>
      <c r="K2126" s="20"/>
      <c r="L2126" s="20"/>
      <c r="M2126" s="20"/>
      <c r="N2126" s="20"/>
      <c r="O2126" s="20"/>
      <c r="P2126" s="20"/>
      <c r="Q2126" s="20"/>
      <c r="R2126" s="20"/>
      <c r="S2126" s="20"/>
      <c r="T2126" s="20"/>
      <c r="U2126" s="20"/>
      <c r="V2126" s="20"/>
      <c r="W2126" s="20"/>
      <c r="X2126" s="20"/>
      <c r="Y2126" s="20"/>
    </row>
    <row r="2127" spans="1:25" x14ac:dyDescent="0.3">
      <c r="A2127" s="20"/>
      <c r="B2127" s="20"/>
      <c r="C2127" s="20"/>
      <c r="D2127" s="20"/>
      <c r="E2127" s="20"/>
      <c r="F2127" s="20"/>
      <c r="G2127" s="20"/>
      <c r="H2127" s="20"/>
      <c r="I2127" s="20"/>
      <c r="J2127" s="20"/>
      <c r="K2127" s="20"/>
      <c r="L2127" s="20"/>
      <c r="M2127" s="20"/>
      <c r="N2127" s="20"/>
      <c r="O2127" s="20"/>
      <c r="P2127" s="20"/>
      <c r="Q2127" s="20"/>
      <c r="R2127" s="20"/>
      <c r="S2127" s="20"/>
      <c r="T2127" s="20"/>
      <c r="U2127" s="20"/>
      <c r="V2127" s="20"/>
      <c r="W2127" s="20"/>
      <c r="X2127" s="20"/>
      <c r="Y2127" s="20"/>
    </row>
    <row r="2128" spans="1:25" x14ac:dyDescent="0.3">
      <c r="A2128" s="20"/>
      <c r="B2128" s="20"/>
      <c r="C2128" s="20"/>
      <c r="D2128" s="20"/>
      <c r="E2128" s="20"/>
      <c r="F2128" s="20"/>
      <c r="G2128" s="20"/>
      <c r="H2128" s="20"/>
      <c r="I2128" s="20"/>
      <c r="J2128" s="20"/>
      <c r="K2128" s="20"/>
      <c r="L2128" s="20"/>
      <c r="M2128" s="20"/>
      <c r="N2128" s="20"/>
      <c r="O2128" s="20"/>
      <c r="P2128" s="20"/>
      <c r="Q2128" s="20"/>
      <c r="R2128" s="20"/>
      <c r="S2128" s="20"/>
      <c r="T2128" s="20"/>
      <c r="U2128" s="20"/>
      <c r="V2128" s="20"/>
      <c r="W2128" s="20"/>
      <c r="X2128" s="20"/>
      <c r="Y2128" s="20"/>
    </row>
    <row r="2129" spans="1:25" x14ac:dyDescent="0.3">
      <c r="A2129" s="20"/>
      <c r="B2129" s="20"/>
      <c r="C2129" s="20"/>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row>
    <row r="2130" spans="1:25" x14ac:dyDescent="0.3">
      <c r="A2130" s="20"/>
      <c r="B2130" s="20"/>
      <c r="C2130" s="20"/>
      <c r="D2130" s="20"/>
      <c r="E2130" s="20"/>
      <c r="F2130" s="20"/>
      <c r="G2130" s="20"/>
      <c r="H2130" s="20"/>
      <c r="I2130" s="20"/>
      <c r="J2130" s="20"/>
      <c r="K2130" s="20"/>
      <c r="L2130" s="20"/>
      <c r="M2130" s="20"/>
      <c r="N2130" s="20"/>
      <c r="O2130" s="20"/>
      <c r="P2130" s="20"/>
      <c r="Q2130" s="20"/>
      <c r="R2130" s="20"/>
      <c r="S2130" s="20"/>
      <c r="T2130" s="20"/>
      <c r="U2130" s="20"/>
      <c r="V2130" s="20"/>
      <c r="W2130" s="20"/>
      <c r="X2130" s="20"/>
      <c r="Y2130" s="20"/>
    </row>
    <row r="2131" spans="1:25" x14ac:dyDescent="0.3">
      <c r="A2131" s="20"/>
      <c r="B2131" s="20"/>
      <c r="C2131" s="20"/>
      <c r="D2131" s="20"/>
      <c r="E2131" s="20"/>
      <c r="F2131" s="20"/>
      <c r="G2131" s="20"/>
      <c r="H2131" s="20"/>
      <c r="I2131" s="20"/>
      <c r="J2131" s="20"/>
      <c r="K2131" s="20"/>
      <c r="L2131" s="20"/>
      <c r="M2131" s="20"/>
      <c r="N2131" s="20"/>
      <c r="O2131" s="20"/>
      <c r="P2131" s="20"/>
      <c r="Q2131" s="20"/>
      <c r="R2131" s="20"/>
      <c r="S2131" s="20"/>
      <c r="T2131" s="20"/>
      <c r="U2131" s="20"/>
      <c r="V2131" s="20"/>
      <c r="W2131" s="20"/>
      <c r="X2131" s="20"/>
      <c r="Y2131" s="20"/>
    </row>
    <row r="2132" spans="1:25" x14ac:dyDescent="0.3">
      <c r="A2132" s="20"/>
      <c r="B2132" s="20"/>
      <c r="C2132" s="20"/>
      <c r="D2132" s="20"/>
      <c r="E2132" s="20"/>
      <c r="F2132" s="20"/>
      <c r="G2132" s="20"/>
      <c r="H2132" s="20"/>
      <c r="I2132" s="20"/>
      <c r="J2132" s="20"/>
      <c r="K2132" s="20"/>
      <c r="L2132" s="20"/>
      <c r="M2132" s="20"/>
      <c r="N2132" s="20"/>
      <c r="O2132" s="20"/>
      <c r="P2132" s="20"/>
      <c r="Q2132" s="20"/>
      <c r="R2132" s="20"/>
      <c r="S2132" s="20"/>
      <c r="T2132" s="20"/>
      <c r="U2132" s="20"/>
      <c r="V2132" s="20"/>
      <c r="W2132" s="20"/>
      <c r="X2132" s="20"/>
      <c r="Y2132" s="20"/>
    </row>
    <row r="2133" spans="1:25" x14ac:dyDescent="0.3">
      <c r="A2133" s="20"/>
      <c r="B2133" s="20"/>
      <c r="C2133" s="20"/>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row>
    <row r="2134" spans="1:25" x14ac:dyDescent="0.3">
      <c r="A2134" s="20"/>
      <c r="B2134" s="20"/>
      <c r="C2134" s="20"/>
      <c r="D2134" s="20"/>
      <c r="E2134" s="20"/>
      <c r="F2134" s="20"/>
      <c r="G2134" s="20"/>
      <c r="H2134" s="20"/>
      <c r="I2134" s="20"/>
      <c r="J2134" s="20"/>
      <c r="K2134" s="20"/>
      <c r="L2134" s="20"/>
      <c r="M2134" s="20"/>
      <c r="N2134" s="20"/>
      <c r="O2134" s="20"/>
      <c r="P2134" s="20"/>
      <c r="Q2134" s="20"/>
      <c r="R2134" s="20"/>
      <c r="S2134" s="20"/>
      <c r="T2134" s="20"/>
      <c r="U2134" s="20"/>
      <c r="V2134" s="20"/>
      <c r="W2134" s="20"/>
      <c r="X2134" s="20"/>
      <c r="Y2134" s="20"/>
    </row>
    <row r="2135" spans="1:25" x14ac:dyDescent="0.3">
      <c r="A2135" s="20"/>
      <c r="B2135" s="20"/>
      <c r="C2135" s="20"/>
      <c r="D2135" s="20"/>
      <c r="E2135" s="20"/>
      <c r="F2135" s="20"/>
      <c r="G2135" s="20"/>
      <c r="H2135" s="20"/>
      <c r="I2135" s="20"/>
      <c r="J2135" s="20"/>
      <c r="K2135" s="20"/>
      <c r="L2135" s="20"/>
      <c r="M2135" s="20"/>
      <c r="N2135" s="20"/>
      <c r="O2135" s="20"/>
      <c r="P2135" s="20"/>
      <c r="Q2135" s="20"/>
      <c r="R2135" s="20"/>
      <c r="S2135" s="20"/>
      <c r="T2135" s="20"/>
      <c r="U2135" s="20"/>
      <c r="V2135" s="20"/>
      <c r="W2135" s="20"/>
      <c r="X2135" s="20"/>
      <c r="Y2135" s="20"/>
    </row>
    <row r="2136" spans="1:25" x14ac:dyDescent="0.3">
      <c r="A2136" s="20"/>
      <c r="B2136" s="20"/>
      <c r="C2136" s="20"/>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row>
    <row r="2137" spans="1:25" x14ac:dyDescent="0.3">
      <c r="A2137" s="20"/>
      <c r="B2137" s="20"/>
      <c r="C2137" s="20"/>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row>
    <row r="2138" spans="1:25" x14ac:dyDescent="0.3">
      <c r="A2138" s="20"/>
      <c r="B2138" s="20"/>
      <c r="C2138" s="20"/>
      <c r="D2138" s="20"/>
      <c r="E2138" s="20"/>
      <c r="F2138" s="20"/>
      <c r="G2138" s="20"/>
      <c r="H2138" s="20"/>
      <c r="I2138" s="20"/>
      <c r="J2138" s="20"/>
      <c r="K2138" s="20"/>
      <c r="L2138" s="20"/>
      <c r="M2138" s="20"/>
      <c r="N2138" s="20"/>
      <c r="O2138" s="20"/>
      <c r="P2138" s="20"/>
      <c r="Q2138" s="20"/>
      <c r="R2138" s="20"/>
      <c r="S2138" s="20"/>
      <c r="T2138" s="20"/>
      <c r="U2138" s="20"/>
      <c r="V2138" s="20"/>
      <c r="W2138" s="20"/>
      <c r="X2138" s="20"/>
      <c r="Y2138" s="20"/>
    </row>
    <row r="2139" spans="1:25" x14ac:dyDescent="0.3">
      <c r="A2139" s="20"/>
      <c r="B2139" s="20"/>
      <c r="C2139" s="20"/>
      <c r="D2139" s="20"/>
      <c r="E2139" s="20"/>
      <c r="F2139" s="20"/>
      <c r="G2139" s="20"/>
      <c r="H2139" s="20"/>
      <c r="I2139" s="20"/>
      <c r="J2139" s="20"/>
      <c r="K2139" s="20"/>
      <c r="L2139" s="20"/>
      <c r="M2139" s="20"/>
      <c r="N2139" s="20"/>
      <c r="O2139" s="20"/>
      <c r="P2139" s="20"/>
      <c r="Q2139" s="20"/>
      <c r="R2139" s="20"/>
      <c r="S2139" s="20"/>
      <c r="T2139" s="20"/>
      <c r="U2139" s="20"/>
      <c r="V2139" s="20"/>
      <c r="W2139" s="20"/>
      <c r="X2139" s="20"/>
      <c r="Y2139" s="20"/>
    </row>
    <row r="2140" spans="1:25" x14ac:dyDescent="0.3">
      <c r="A2140" s="20"/>
      <c r="B2140" s="20"/>
      <c r="C2140" s="20"/>
      <c r="D2140" s="20"/>
      <c r="E2140" s="20"/>
      <c r="F2140" s="20"/>
      <c r="G2140" s="20"/>
      <c r="H2140" s="20"/>
      <c r="I2140" s="20"/>
      <c r="J2140" s="20"/>
      <c r="K2140" s="20"/>
      <c r="L2140" s="20"/>
      <c r="M2140" s="20"/>
      <c r="N2140" s="20"/>
      <c r="O2140" s="20"/>
      <c r="P2140" s="20"/>
      <c r="Q2140" s="20"/>
      <c r="R2140" s="20"/>
      <c r="S2140" s="20"/>
      <c r="T2140" s="20"/>
      <c r="U2140" s="20"/>
      <c r="V2140" s="20"/>
      <c r="W2140" s="20"/>
      <c r="X2140" s="20"/>
      <c r="Y2140" s="20"/>
    </row>
    <row r="2141" spans="1:25" x14ac:dyDescent="0.3">
      <c r="A2141" s="20"/>
      <c r="B2141" s="20"/>
      <c r="C2141" s="20"/>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row>
    <row r="2142" spans="1:25" x14ac:dyDescent="0.3">
      <c r="A2142" s="20"/>
      <c r="B2142" s="20"/>
      <c r="C2142" s="20"/>
      <c r="D2142" s="20"/>
      <c r="E2142" s="20"/>
      <c r="F2142" s="20"/>
      <c r="G2142" s="20"/>
      <c r="H2142" s="20"/>
      <c r="I2142" s="20"/>
      <c r="J2142" s="20"/>
      <c r="K2142" s="20"/>
      <c r="L2142" s="20"/>
      <c r="M2142" s="20"/>
      <c r="N2142" s="20"/>
      <c r="O2142" s="20"/>
      <c r="P2142" s="20"/>
      <c r="Q2142" s="20"/>
      <c r="R2142" s="20"/>
      <c r="S2142" s="20"/>
      <c r="T2142" s="20"/>
      <c r="U2142" s="20"/>
      <c r="V2142" s="20"/>
      <c r="W2142" s="20"/>
      <c r="X2142" s="20"/>
      <c r="Y2142" s="20"/>
    </row>
    <row r="2143" spans="1:25" x14ac:dyDescent="0.3">
      <c r="A2143" s="20"/>
      <c r="B2143" s="20"/>
      <c r="C2143" s="20"/>
      <c r="D2143" s="20"/>
      <c r="E2143" s="20"/>
      <c r="F2143" s="20"/>
      <c r="G2143" s="20"/>
      <c r="H2143" s="20"/>
      <c r="I2143" s="20"/>
      <c r="J2143" s="20"/>
      <c r="K2143" s="20"/>
      <c r="L2143" s="20"/>
      <c r="M2143" s="20"/>
      <c r="N2143" s="20"/>
      <c r="O2143" s="20"/>
      <c r="P2143" s="20"/>
      <c r="Q2143" s="20"/>
      <c r="R2143" s="20"/>
      <c r="S2143" s="20"/>
      <c r="T2143" s="20"/>
      <c r="U2143" s="20"/>
      <c r="V2143" s="20"/>
      <c r="W2143" s="20"/>
      <c r="X2143" s="20"/>
      <c r="Y2143" s="20"/>
    </row>
    <row r="2144" spans="1:25" x14ac:dyDescent="0.3">
      <c r="A2144" s="20"/>
      <c r="B2144" s="20"/>
      <c r="C2144" s="20"/>
      <c r="D2144" s="20"/>
      <c r="E2144" s="20"/>
      <c r="F2144" s="20"/>
      <c r="G2144" s="20"/>
      <c r="H2144" s="20"/>
      <c r="I2144" s="20"/>
      <c r="J2144" s="20"/>
      <c r="K2144" s="20"/>
      <c r="L2144" s="20"/>
      <c r="M2144" s="20"/>
      <c r="N2144" s="20"/>
      <c r="O2144" s="20"/>
      <c r="P2144" s="20"/>
      <c r="Q2144" s="20"/>
      <c r="R2144" s="20"/>
      <c r="S2144" s="20"/>
      <c r="T2144" s="20"/>
      <c r="U2144" s="20"/>
      <c r="V2144" s="20"/>
      <c r="W2144" s="20"/>
      <c r="X2144" s="20"/>
      <c r="Y2144" s="20"/>
    </row>
    <row r="2145" spans="1:25" x14ac:dyDescent="0.3">
      <c r="A2145" s="20"/>
      <c r="B2145" s="20"/>
      <c r="C2145" s="20"/>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row>
    <row r="2146" spans="1:25" x14ac:dyDescent="0.3">
      <c r="A2146" s="20"/>
      <c r="B2146" s="20"/>
      <c r="C2146" s="20"/>
      <c r="D2146" s="20"/>
      <c r="E2146" s="20"/>
      <c r="F2146" s="20"/>
      <c r="G2146" s="20"/>
      <c r="H2146" s="20"/>
      <c r="I2146" s="20"/>
      <c r="J2146" s="20"/>
      <c r="K2146" s="20"/>
      <c r="L2146" s="20"/>
      <c r="M2146" s="20"/>
      <c r="N2146" s="20"/>
      <c r="O2146" s="20"/>
      <c r="P2146" s="20"/>
      <c r="Q2146" s="20"/>
      <c r="R2146" s="20"/>
      <c r="S2146" s="20"/>
      <c r="T2146" s="20"/>
      <c r="U2146" s="20"/>
      <c r="V2146" s="20"/>
      <c r="W2146" s="20"/>
      <c r="X2146" s="20"/>
      <c r="Y2146" s="20"/>
    </row>
    <row r="2147" spans="1:25" x14ac:dyDescent="0.3">
      <c r="A2147" s="20"/>
      <c r="B2147" s="20"/>
      <c r="C2147" s="20"/>
      <c r="D2147" s="20"/>
      <c r="E2147" s="20"/>
      <c r="F2147" s="20"/>
      <c r="G2147" s="20"/>
      <c r="H2147" s="20"/>
      <c r="I2147" s="20"/>
      <c r="J2147" s="20"/>
      <c r="K2147" s="20"/>
      <c r="L2147" s="20"/>
      <c r="M2147" s="20"/>
      <c r="N2147" s="20"/>
      <c r="O2147" s="20"/>
      <c r="P2147" s="20"/>
      <c r="Q2147" s="20"/>
      <c r="R2147" s="20"/>
      <c r="S2147" s="20"/>
      <c r="T2147" s="20"/>
      <c r="U2147" s="20"/>
      <c r="V2147" s="20"/>
      <c r="W2147" s="20"/>
      <c r="X2147" s="20"/>
      <c r="Y2147" s="20"/>
    </row>
    <row r="2148" spans="1:25" x14ac:dyDescent="0.3">
      <c r="A2148" s="20"/>
      <c r="B2148" s="20"/>
      <c r="C2148" s="20"/>
      <c r="D2148" s="20"/>
      <c r="E2148" s="20"/>
      <c r="F2148" s="20"/>
      <c r="G2148" s="20"/>
      <c r="H2148" s="20"/>
      <c r="I2148" s="20"/>
      <c r="J2148" s="20"/>
      <c r="K2148" s="20"/>
      <c r="L2148" s="20"/>
      <c r="M2148" s="20"/>
      <c r="N2148" s="20"/>
      <c r="O2148" s="20"/>
      <c r="P2148" s="20"/>
      <c r="Q2148" s="20"/>
      <c r="R2148" s="20"/>
      <c r="S2148" s="20"/>
      <c r="T2148" s="20"/>
      <c r="U2148" s="20"/>
      <c r="V2148" s="20"/>
      <c r="W2148" s="20"/>
      <c r="X2148" s="20"/>
      <c r="Y2148" s="20"/>
    </row>
    <row r="2149" spans="1:25" x14ac:dyDescent="0.3">
      <c r="A2149" s="20"/>
      <c r="B2149" s="20"/>
      <c r="C2149" s="20"/>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row>
    <row r="2150" spans="1:25" x14ac:dyDescent="0.3">
      <c r="A2150" s="20"/>
      <c r="B2150" s="20"/>
      <c r="C2150" s="20"/>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row>
    <row r="2151" spans="1:25" x14ac:dyDescent="0.3">
      <c r="A2151" s="20"/>
      <c r="B2151" s="20"/>
      <c r="C2151" s="20"/>
      <c r="D2151" s="20"/>
      <c r="E2151" s="20"/>
      <c r="F2151" s="20"/>
      <c r="G2151" s="20"/>
      <c r="H2151" s="20"/>
      <c r="I2151" s="20"/>
      <c r="J2151" s="20"/>
      <c r="K2151" s="20"/>
      <c r="L2151" s="20"/>
      <c r="M2151" s="20"/>
      <c r="N2151" s="20"/>
      <c r="O2151" s="20"/>
      <c r="P2151" s="20"/>
      <c r="Q2151" s="20"/>
      <c r="R2151" s="20"/>
      <c r="S2151" s="20"/>
      <c r="T2151" s="20"/>
      <c r="U2151" s="20"/>
      <c r="V2151" s="20"/>
      <c r="W2151" s="20"/>
      <c r="X2151" s="20"/>
      <c r="Y2151" s="20"/>
    </row>
    <row r="2152" spans="1:25" x14ac:dyDescent="0.3">
      <c r="A2152" s="20"/>
      <c r="B2152" s="20"/>
      <c r="C2152" s="20"/>
      <c r="D2152" s="20"/>
      <c r="E2152" s="20"/>
      <c r="F2152" s="20"/>
      <c r="G2152" s="20"/>
      <c r="H2152" s="20"/>
      <c r="I2152" s="20"/>
      <c r="J2152" s="20"/>
      <c r="K2152" s="20"/>
      <c r="L2152" s="20"/>
      <c r="M2152" s="20"/>
      <c r="N2152" s="20"/>
      <c r="O2152" s="20"/>
      <c r="P2152" s="20"/>
      <c r="Q2152" s="20"/>
      <c r="R2152" s="20"/>
      <c r="S2152" s="20"/>
      <c r="T2152" s="20"/>
      <c r="U2152" s="20"/>
      <c r="V2152" s="20"/>
      <c r="W2152" s="20"/>
      <c r="X2152" s="20"/>
      <c r="Y2152" s="20"/>
    </row>
    <row r="2153" spans="1:25" x14ac:dyDescent="0.3">
      <c r="A2153" s="20"/>
      <c r="B2153" s="20"/>
      <c r="C2153" s="20"/>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row>
    <row r="2154" spans="1:25" x14ac:dyDescent="0.3">
      <c r="A2154" s="20"/>
      <c r="B2154" s="20"/>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row>
    <row r="2155" spans="1:25" x14ac:dyDescent="0.3">
      <c r="A2155" s="20"/>
      <c r="B2155" s="20"/>
      <c r="C2155" s="20"/>
      <c r="D2155" s="20"/>
      <c r="E2155" s="20"/>
      <c r="F2155" s="20"/>
      <c r="G2155" s="20"/>
      <c r="H2155" s="20"/>
      <c r="I2155" s="20"/>
      <c r="J2155" s="20"/>
      <c r="K2155" s="20"/>
      <c r="L2155" s="20"/>
      <c r="M2155" s="20"/>
      <c r="N2155" s="20"/>
      <c r="O2155" s="20"/>
      <c r="P2155" s="20"/>
      <c r="Q2155" s="20"/>
      <c r="R2155" s="20"/>
      <c r="S2155" s="20"/>
      <c r="T2155" s="20"/>
      <c r="U2155" s="20"/>
      <c r="V2155" s="20"/>
      <c r="W2155" s="20"/>
      <c r="X2155" s="20"/>
      <c r="Y2155" s="20"/>
    </row>
    <row r="2156" spans="1:25" x14ac:dyDescent="0.3">
      <c r="A2156" s="20"/>
      <c r="B2156" s="20"/>
      <c r="C2156" s="20"/>
      <c r="D2156" s="20"/>
      <c r="E2156" s="20"/>
      <c r="F2156" s="20"/>
      <c r="G2156" s="20"/>
      <c r="H2156" s="20"/>
      <c r="I2156" s="20"/>
      <c r="J2156" s="20"/>
      <c r="K2156" s="20"/>
      <c r="L2156" s="20"/>
      <c r="M2156" s="20"/>
      <c r="N2156" s="20"/>
      <c r="O2156" s="20"/>
      <c r="P2156" s="20"/>
      <c r="Q2156" s="20"/>
      <c r="R2156" s="20"/>
      <c r="S2156" s="20"/>
      <c r="T2156" s="20"/>
      <c r="U2156" s="20"/>
      <c r="V2156" s="20"/>
      <c r="W2156" s="20"/>
      <c r="X2156" s="20"/>
      <c r="Y2156" s="20"/>
    </row>
    <row r="2157" spans="1:25" x14ac:dyDescent="0.3">
      <c r="A2157" s="20"/>
      <c r="B2157" s="20"/>
      <c r="C2157" s="20"/>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row>
    <row r="2158" spans="1:25" x14ac:dyDescent="0.3">
      <c r="A2158" s="20"/>
      <c r="B2158" s="20"/>
      <c r="C2158" s="20"/>
      <c r="D2158" s="20"/>
      <c r="E2158" s="20"/>
      <c r="F2158" s="20"/>
      <c r="G2158" s="20"/>
      <c r="H2158" s="20"/>
      <c r="I2158" s="20"/>
      <c r="J2158" s="20"/>
      <c r="K2158" s="20"/>
      <c r="L2158" s="20"/>
      <c r="M2158" s="20"/>
      <c r="N2158" s="20"/>
      <c r="O2158" s="20"/>
      <c r="P2158" s="20"/>
      <c r="Q2158" s="20"/>
      <c r="R2158" s="20"/>
      <c r="S2158" s="20"/>
      <c r="T2158" s="20"/>
      <c r="U2158" s="20"/>
      <c r="V2158" s="20"/>
      <c r="W2158" s="20"/>
      <c r="X2158" s="20"/>
      <c r="Y2158" s="20"/>
    </row>
    <row r="2159" spans="1:25" x14ac:dyDescent="0.3">
      <c r="A2159" s="20"/>
      <c r="B2159" s="20"/>
      <c r="C2159" s="20"/>
      <c r="D2159" s="20"/>
      <c r="E2159" s="20"/>
      <c r="F2159" s="20"/>
      <c r="G2159" s="20"/>
      <c r="H2159" s="20"/>
      <c r="I2159" s="20"/>
      <c r="J2159" s="20"/>
      <c r="K2159" s="20"/>
      <c r="L2159" s="20"/>
      <c r="M2159" s="20"/>
      <c r="N2159" s="20"/>
      <c r="O2159" s="20"/>
      <c r="P2159" s="20"/>
      <c r="Q2159" s="20"/>
      <c r="R2159" s="20"/>
      <c r="S2159" s="20"/>
      <c r="T2159" s="20"/>
      <c r="U2159" s="20"/>
      <c r="V2159" s="20"/>
      <c r="W2159" s="20"/>
      <c r="X2159" s="20"/>
      <c r="Y2159" s="20"/>
    </row>
    <row r="2160" spans="1:25" x14ac:dyDescent="0.3">
      <c r="A2160" s="20"/>
      <c r="B2160" s="20"/>
      <c r="C2160" s="20"/>
      <c r="D2160" s="20"/>
      <c r="E2160" s="20"/>
      <c r="F2160" s="20"/>
      <c r="G2160" s="20"/>
      <c r="H2160" s="20"/>
      <c r="I2160" s="20"/>
      <c r="J2160" s="20"/>
      <c r="K2160" s="20"/>
      <c r="L2160" s="20"/>
      <c r="M2160" s="20"/>
      <c r="N2160" s="20"/>
      <c r="O2160" s="20"/>
      <c r="P2160" s="20"/>
      <c r="Q2160" s="20"/>
      <c r="R2160" s="20"/>
      <c r="S2160" s="20"/>
      <c r="T2160" s="20"/>
      <c r="U2160" s="20"/>
      <c r="V2160" s="20"/>
      <c r="W2160" s="20"/>
      <c r="X2160" s="20"/>
      <c r="Y2160" s="20"/>
    </row>
    <row r="2161" spans="1:25" x14ac:dyDescent="0.3">
      <c r="A2161" s="20"/>
      <c r="B2161" s="20"/>
      <c r="C2161" s="20"/>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row>
    <row r="2162" spans="1:25" x14ac:dyDescent="0.3">
      <c r="A2162" s="20"/>
      <c r="B2162" s="20"/>
      <c r="C2162" s="20"/>
      <c r="D2162" s="20"/>
      <c r="E2162" s="20"/>
      <c r="F2162" s="20"/>
      <c r="G2162" s="20"/>
      <c r="H2162" s="20"/>
      <c r="I2162" s="20"/>
      <c r="J2162" s="20"/>
      <c r="K2162" s="20"/>
      <c r="L2162" s="20"/>
      <c r="M2162" s="20"/>
      <c r="N2162" s="20"/>
      <c r="O2162" s="20"/>
      <c r="P2162" s="20"/>
      <c r="Q2162" s="20"/>
      <c r="R2162" s="20"/>
      <c r="S2162" s="20"/>
      <c r="T2162" s="20"/>
      <c r="U2162" s="20"/>
      <c r="V2162" s="20"/>
      <c r="W2162" s="20"/>
      <c r="X2162" s="20"/>
      <c r="Y2162" s="20"/>
    </row>
    <row r="2163" spans="1:25" x14ac:dyDescent="0.3">
      <c r="A2163" s="20"/>
      <c r="B2163" s="20"/>
      <c r="C2163" s="20"/>
      <c r="D2163" s="20"/>
      <c r="E2163" s="20"/>
      <c r="F2163" s="20"/>
      <c r="G2163" s="20"/>
      <c r="H2163" s="20"/>
      <c r="I2163" s="20"/>
      <c r="J2163" s="20"/>
      <c r="K2163" s="20"/>
      <c r="L2163" s="20"/>
      <c r="M2163" s="20"/>
      <c r="N2163" s="20"/>
      <c r="O2163" s="20"/>
      <c r="P2163" s="20"/>
      <c r="Q2163" s="20"/>
      <c r="R2163" s="20"/>
      <c r="S2163" s="20"/>
      <c r="T2163" s="20"/>
      <c r="U2163" s="20"/>
      <c r="V2163" s="20"/>
      <c r="W2163" s="20"/>
      <c r="X2163" s="20"/>
      <c r="Y2163" s="20"/>
    </row>
    <row r="2164" spans="1:25" x14ac:dyDescent="0.3">
      <c r="A2164" s="20"/>
      <c r="B2164" s="20"/>
      <c r="C2164" s="20"/>
      <c r="D2164" s="20"/>
      <c r="E2164" s="20"/>
      <c r="F2164" s="20"/>
      <c r="G2164" s="20"/>
      <c r="H2164" s="20"/>
      <c r="I2164" s="20"/>
      <c r="J2164" s="20"/>
      <c r="K2164" s="20"/>
      <c r="L2164" s="20"/>
      <c r="M2164" s="20"/>
      <c r="N2164" s="20"/>
      <c r="O2164" s="20"/>
      <c r="P2164" s="20"/>
      <c r="Q2164" s="20"/>
      <c r="R2164" s="20"/>
      <c r="S2164" s="20"/>
      <c r="T2164" s="20"/>
      <c r="U2164" s="20"/>
      <c r="V2164" s="20"/>
      <c r="W2164" s="20"/>
      <c r="X2164" s="20"/>
      <c r="Y2164" s="20"/>
    </row>
    <row r="2165" spans="1:25" x14ac:dyDescent="0.3">
      <c r="A2165" s="20"/>
      <c r="B2165" s="20"/>
      <c r="C2165" s="20"/>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row>
    <row r="2166" spans="1:25" x14ac:dyDescent="0.3">
      <c r="A2166" s="20"/>
      <c r="B2166" s="20"/>
      <c r="C2166" s="20"/>
      <c r="D2166" s="20"/>
      <c r="E2166" s="20"/>
      <c r="F2166" s="20"/>
      <c r="G2166" s="20"/>
      <c r="H2166" s="20"/>
      <c r="I2166" s="20"/>
      <c r="J2166" s="20"/>
      <c r="K2166" s="20"/>
      <c r="L2166" s="20"/>
      <c r="M2166" s="20"/>
      <c r="N2166" s="20"/>
      <c r="O2166" s="20"/>
      <c r="P2166" s="20"/>
      <c r="Q2166" s="20"/>
      <c r="R2166" s="20"/>
      <c r="S2166" s="20"/>
      <c r="T2166" s="20"/>
      <c r="U2166" s="20"/>
      <c r="V2166" s="20"/>
      <c r="W2166" s="20"/>
      <c r="X2166" s="20"/>
      <c r="Y2166" s="20"/>
    </row>
    <row r="2167" spans="1:25" x14ac:dyDescent="0.3">
      <c r="A2167" s="20"/>
      <c r="B2167" s="20"/>
      <c r="C2167" s="20"/>
      <c r="D2167" s="20"/>
      <c r="E2167" s="20"/>
      <c r="F2167" s="20"/>
      <c r="G2167" s="20"/>
      <c r="H2167" s="20"/>
      <c r="I2167" s="20"/>
      <c r="J2167" s="20"/>
      <c r="K2167" s="20"/>
      <c r="L2167" s="20"/>
      <c r="M2167" s="20"/>
      <c r="N2167" s="20"/>
      <c r="O2167" s="20"/>
      <c r="P2167" s="20"/>
      <c r="Q2167" s="20"/>
      <c r="R2167" s="20"/>
      <c r="S2167" s="20"/>
      <c r="T2167" s="20"/>
      <c r="U2167" s="20"/>
      <c r="V2167" s="20"/>
      <c r="W2167" s="20"/>
      <c r="X2167" s="20"/>
      <c r="Y2167" s="20"/>
    </row>
    <row r="2168" spans="1:25" x14ac:dyDescent="0.3">
      <c r="A2168" s="20"/>
      <c r="B2168" s="20"/>
      <c r="C2168" s="20"/>
      <c r="D2168" s="20"/>
      <c r="E2168" s="20"/>
      <c r="F2168" s="20"/>
      <c r="G2168" s="20"/>
      <c r="H2168" s="20"/>
      <c r="I2168" s="20"/>
      <c r="J2168" s="20"/>
      <c r="K2168" s="20"/>
      <c r="L2168" s="20"/>
      <c r="M2168" s="20"/>
      <c r="N2168" s="20"/>
      <c r="O2168" s="20"/>
      <c r="P2168" s="20"/>
      <c r="Q2168" s="20"/>
      <c r="R2168" s="20"/>
      <c r="S2168" s="20"/>
      <c r="T2168" s="20"/>
      <c r="U2168" s="20"/>
      <c r="V2168" s="20"/>
      <c r="W2168" s="20"/>
      <c r="X2168" s="20"/>
      <c r="Y2168" s="20"/>
    </row>
    <row r="2169" spans="1:25" x14ac:dyDescent="0.3">
      <c r="A2169" s="20"/>
      <c r="B2169" s="20"/>
      <c r="C2169" s="20"/>
      <c r="D2169" s="20"/>
      <c r="E2169" s="20"/>
      <c r="F2169" s="20"/>
      <c r="G2169" s="20"/>
      <c r="H2169" s="20"/>
      <c r="I2169" s="20"/>
      <c r="J2169" s="20"/>
      <c r="K2169" s="20"/>
      <c r="L2169" s="20"/>
      <c r="M2169" s="20"/>
      <c r="N2169" s="20"/>
      <c r="O2169" s="20"/>
      <c r="P2169" s="20"/>
      <c r="Q2169" s="20"/>
      <c r="R2169" s="20"/>
      <c r="S2169" s="20"/>
      <c r="T2169" s="20"/>
      <c r="U2169" s="20"/>
      <c r="V2169" s="20"/>
      <c r="W2169" s="20"/>
      <c r="X2169" s="20"/>
      <c r="Y2169" s="20"/>
    </row>
    <row r="2170" spans="1:25" x14ac:dyDescent="0.3">
      <c r="A2170" s="20"/>
      <c r="B2170" s="20"/>
      <c r="C2170" s="20"/>
      <c r="D2170" s="20"/>
      <c r="E2170" s="20"/>
      <c r="F2170" s="20"/>
      <c r="G2170" s="20"/>
      <c r="H2170" s="20"/>
      <c r="I2170" s="20"/>
      <c r="J2170" s="20"/>
      <c r="K2170" s="20"/>
      <c r="L2170" s="20"/>
      <c r="M2170" s="20"/>
      <c r="N2170" s="20"/>
      <c r="O2170" s="20"/>
      <c r="P2170" s="20"/>
      <c r="Q2170" s="20"/>
      <c r="R2170" s="20"/>
      <c r="S2170" s="20"/>
      <c r="T2170" s="20"/>
      <c r="U2170" s="20"/>
      <c r="V2170" s="20"/>
      <c r="W2170" s="20"/>
      <c r="X2170" s="20"/>
      <c r="Y2170" s="20"/>
    </row>
    <row r="2171" spans="1:25" x14ac:dyDescent="0.3">
      <c r="A2171" s="20"/>
      <c r="B2171" s="20"/>
      <c r="C2171" s="20"/>
      <c r="D2171" s="20"/>
      <c r="E2171" s="20"/>
      <c r="F2171" s="20"/>
      <c r="G2171" s="20"/>
      <c r="H2171" s="20"/>
      <c r="I2171" s="20"/>
      <c r="J2171" s="20"/>
      <c r="K2171" s="20"/>
      <c r="L2171" s="20"/>
      <c r="M2171" s="20"/>
      <c r="N2171" s="20"/>
      <c r="O2171" s="20"/>
      <c r="P2171" s="20"/>
      <c r="Q2171" s="20"/>
      <c r="R2171" s="20"/>
      <c r="S2171" s="20"/>
      <c r="T2171" s="20"/>
      <c r="U2171" s="20"/>
      <c r="V2171" s="20"/>
      <c r="W2171" s="20"/>
      <c r="X2171" s="20"/>
      <c r="Y2171" s="20"/>
    </row>
    <row r="2172" spans="1:25" x14ac:dyDescent="0.3">
      <c r="A2172" s="20"/>
      <c r="B2172" s="20"/>
      <c r="C2172" s="20"/>
      <c r="D2172" s="20"/>
      <c r="E2172" s="20"/>
      <c r="F2172" s="20"/>
      <c r="G2172" s="20"/>
      <c r="H2172" s="20"/>
      <c r="I2172" s="20"/>
      <c r="J2172" s="20"/>
      <c r="K2172" s="20"/>
      <c r="L2172" s="20"/>
      <c r="M2172" s="20"/>
      <c r="N2172" s="20"/>
      <c r="O2172" s="20"/>
      <c r="P2172" s="20"/>
      <c r="Q2172" s="20"/>
      <c r="R2172" s="20"/>
      <c r="S2172" s="20"/>
      <c r="T2172" s="20"/>
      <c r="U2172" s="20"/>
      <c r="V2172" s="20"/>
      <c r="W2172" s="20"/>
      <c r="X2172" s="20"/>
      <c r="Y2172" s="20"/>
    </row>
    <row r="2173" spans="1:25" x14ac:dyDescent="0.3">
      <c r="A2173" s="20"/>
      <c r="B2173" s="20"/>
      <c r="C2173" s="20"/>
      <c r="D2173" s="20"/>
      <c r="E2173" s="20"/>
      <c r="F2173" s="20"/>
      <c r="G2173" s="20"/>
      <c r="H2173" s="20"/>
      <c r="I2173" s="20"/>
      <c r="J2173" s="20"/>
      <c r="K2173" s="20"/>
      <c r="L2173" s="20"/>
      <c r="M2173" s="20"/>
      <c r="N2173" s="20"/>
      <c r="O2173" s="20"/>
      <c r="P2173" s="20"/>
      <c r="Q2173" s="20"/>
      <c r="R2173" s="20"/>
      <c r="S2173" s="20"/>
      <c r="T2173" s="20"/>
      <c r="U2173" s="20"/>
      <c r="V2173" s="20"/>
      <c r="W2173" s="20"/>
      <c r="X2173" s="20"/>
      <c r="Y2173" s="20"/>
    </row>
    <row r="2174" spans="1:25" x14ac:dyDescent="0.3">
      <c r="A2174" s="20"/>
      <c r="B2174" s="20"/>
      <c r="C2174" s="20"/>
      <c r="D2174" s="20"/>
      <c r="E2174" s="20"/>
      <c r="F2174" s="20"/>
      <c r="G2174" s="20"/>
      <c r="H2174" s="20"/>
      <c r="I2174" s="20"/>
      <c r="J2174" s="20"/>
      <c r="K2174" s="20"/>
      <c r="L2174" s="20"/>
      <c r="M2174" s="20"/>
      <c r="N2174" s="20"/>
      <c r="O2174" s="20"/>
      <c r="P2174" s="20"/>
      <c r="Q2174" s="20"/>
      <c r="R2174" s="20"/>
      <c r="S2174" s="20"/>
      <c r="T2174" s="20"/>
      <c r="U2174" s="20"/>
      <c r="V2174" s="20"/>
      <c r="W2174" s="20"/>
      <c r="X2174" s="20"/>
      <c r="Y2174" s="20"/>
    </row>
    <row r="2175" spans="1:25" x14ac:dyDescent="0.3">
      <c r="A2175" s="20"/>
      <c r="B2175" s="20"/>
      <c r="C2175" s="20"/>
      <c r="D2175" s="20"/>
      <c r="E2175" s="20"/>
      <c r="F2175" s="20"/>
      <c r="G2175" s="20"/>
      <c r="H2175" s="20"/>
      <c r="I2175" s="20"/>
      <c r="J2175" s="20"/>
      <c r="K2175" s="20"/>
      <c r="L2175" s="20"/>
      <c r="M2175" s="20"/>
      <c r="N2175" s="20"/>
      <c r="O2175" s="20"/>
      <c r="P2175" s="20"/>
      <c r="Q2175" s="20"/>
      <c r="R2175" s="20"/>
      <c r="S2175" s="20"/>
      <c r="T2175" s="20"/>
      <c r="U2175" s="20"/>
      <c r="V2175" s="20"/>
      <c r="W2175" s="20"/>
      <c r="X2175" s="20"/>
      <c r="Y2175" s="20"/>
    </row>
    <row r="2176" spans="1:25" x14ac:dyDescent="0.3">
      <c r="A2176" s="20"/>
      <c r="B2176" s="20"/>
      <c r="C2176" s="20"/>
      <c r="D2176" s="20"/>
      <c r="E2176" s="20"/>
      <c r="F2176" s="20"/>
      <c r="G2176" s="20"/>
      <c r="H2176" s="20"/>
      <c r="I2176" s="20"/>
      <c r="J2176" s="20"/>
      <c r="K2176" s="20"/>
      <c r="L2176" s="20"/>
      <c r="M2176" s="20"/>
      <c r="N2176" s="20"/>
      <c r="O2176" s="20"/>
      <c r="P2176" s="20"/>
      <c r="Q2176" s="20"/>
      <c r="R2176" s="20"/>
      <c r="S2176" s="20"/>
      <c r="T2176" s="20"/>
      <c r="U2176" s="20"/>
      <c r="V2176" s="20"/>
      <c r="W2176" s="20"/>
      <c r="X2176" s="20"/>
      <c r="Y2176" s="20"/>
    </row>
    <row r="2177" spans="1:25" x14ac:dyDescent="0.3">
      <c r="A2177" s="20"/>
      <c r="B2177" s="20"/>
      <c r="C2177" s="20"/>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row>
    <row r="2178" spans="1:25" x14ac:dyDescent="0.3">
      <c r="A2178" s="20"/>
      <c r="B2178" s="20"/>
      <c r="C2178" s="20"/>
      <c r="D2178" s="20"/>
      <c r="E2178" s="20"/>
      <c r="F2178" s="20"/>
      <c r="G2178" s="20"/>
      <c r="H2178" s="20"/>
      <c r="I2178" s="20"/>
      <c r="J2178" s="20"/>
      <c r="K2178" s="20"/>
      <c r="L2178" s="20"/>
      <c r="M2178" s="20"/>
      <c r="N2178" s="20"/>
      <c r="O2178" s="20"/>
      <c r="P2178" s="20"/>
      <c r="Q2178" s="20"/>
      <c r="R2178" s="20"/>
      <c r="S2178" s="20"/>
      <c r="T2178" s="20"/>
      <c r="U2178" s="20"/>
      <c r="V2178" s="20"/>
      <c r="W2178" s="20"/>
      <c r="X2178" s="20"/>
      <c r="Y2178" s="20"/>
    </row>
    <row r="2179" spans="1:25" x14ac:dyDescent="0.3">
      <c r="A2179" s="20"/>
      <c r="B2179" s="20"/>
      <c r="C2179" s="20"/>
      <c r="D2179" s="20"/>
      <c r="E2179" s="20"/>
      <c r="F2179" s="20"/>
      <c r="G2179" s="20"/>
      <c r="H2179" s="20"/>
      <c r="I2179" s="20"/>
      <c r="J2179" s="20"/>
      <c r="K2179" s="20"/>
      <c r="L2179" s="20"/>
      <c r="M2179" s="20"/>
      <c r="N2179" s="20"/>
      <c r="O2179" s="20"/>
      <c r="P2179" s="20"/>
      <c r="Q2179" s="20"/>
      <c r="R2179" s="20"/>
      <c r="S2179" s="20"/>
      <c r="T2179" s="20"/>
      <c r="U2179" s="20"/>
      <c r="V2179" s="20"/>
      <c r="W2179" s="20"/>
      <c r="X2179" s="20"/>
      <c r="Y2179" s="20"/>
    </row>
    <row r="2180" spans="1:25" x14ac:dyDescent="0.3">
      <c r="A2180" s="20"/>
      <c r="B2180" s="20"/>
      <c r="C2180" s="20"/>
      <c r="D2180" s="20"/>
      <c r="E2180" s="20"/>
      <c r="F2180" s="20"/>
      <c r="G2180" s="20"/>
      <c r="H2180" s="20"/>
      <c r="I2180" s="20"/>
      <c r="J2180" s="20"/>
      <c r="K2180" s="20"/>
      <c r="L2180" s="20"/>
      <c r="M2180" s="20"/>
      <c r="N2180" s="20"/>
      <c r="O2180" s="20"/>
      <c r="P2180" s="20"/>
      <c r="Q2180" s="20"/>
      <c r="R2180" s="20"/>
      <c r="S2180" s="20"/>
      <c r="T2180" s="20"/>
      <c r="U2180" s="20"/>
      <c r="V2180" s="20"/>
      <c r="W2180" s="20"/>
      <c r="X2180" s="20"/>
      <c r="Y2180" s="20"/>
    </row>
    <row r="2181" spans="1:25" x14ac:dyDescent="0.3">
      <c r="A2181" s="20"/>
      <c r="B2181" s="20"/>
      <c r="C2181" s="20"/>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row>
    <row r="2182" spans="1:25" x14ac:dyDescent="0.3">
      <c r="A2182" s="20"/>
      <c r="B2182" s="20"/>
      <c r="C2182" s="20"/>
      <c r="D2182" s="20"/>
      <c r="E2182" s="20"/>
      <c r="F2182" s="20"/>
      <c r="G2182" s="20"/>
      <c r="H2182" s="20"/>
      <c r="I2182" s="20"/>
      <c r="J2182" s="20"/>
      <c r="K2182" s="20"/>
      <c r="L2182" s="20"/>
      <c r="M2182" s="20"/>
      <c r="N2182" s="20"/>
      <c r="O2182" s="20"/>
      <c r="P2182" s="20"/>
      <c r="Q2182" s="20"/>
      <c r="R2182" s="20"/>
      <c r="S2182" s="20"/>
      <c r="T2182" s="20"/>
      <c r="U2182" s="20"/>
      <c r="V2182" s="20"/>
      <c r="W2182" s="20"/>
      <c r="X2182" s="20"/>
      <c r="Y2182" s="20"/>
    </row>
    <row r="2183" spans="1:25" x14ac:dyDescent="0.3">
      <c r="A2183" s="20"/>
      <c r="B2183" s="20"/>
      <c r="C2183" s="20"/>
      <c r="D2183" s="20"/>
      <c r="E2183" s="20"/>
      <c r="F2183" s="20"/>
      <c r="G2183" s="20"/>
      <c r="H2183" s="20"/>
      <c r="I2183" s="20"/>
      <c r="J2183" s="20"/>
      <c r="K2183" s="20"/>
      <c r="L2183" s="20"/>
      <c r="M2183" s="20"/>
      <c r="N2183" s="20"/>
      <c r="O2183" s="20"/>
      <c r="P2183" s="20"/>
      <c r="Q2183" s="20"/>
      <c r="R2183" s="20"/>
      <c r="S2183" s="20"/>
      <c r="T2183" s="20"/>
      <c r="U2183" s="20"/>
      <c r="V2183" s="20"/>
      <c r="W2183" s="20"/>
      <c r="X2183" s="20"/>
      <c r="Y2183" s="20"/>
    </row>
    <row r="2184" spans="1:25" x14ac:dyDescent="0.3">
      <c r="A2184" s="20"/>
      <c r="B2184" s="20"/>
      <c r="C2184" s="20"/>
      <c r="D2184" s="20"/>
      <c r="E2184" s="20"/>
      <c r="F2184" s="20"/>
      <c r="G2184" s="20"/>
      <c r="H2184" s="20"/>
      <c r="I2184" s="20"/>
      <c r="J2184" s="20"/>
      <c r="K2184" s="20"/>
      <c r="L2184" s="20"/>
      <c r="M2184" s="20"/>
      <c r="N2184" s="20"/>
      <c r="O2184" s="20"/>
      <c r="P2184" s="20"/>
      <c r="Q2184" s="20"/>
      <c r="R2184" s="20"/>
      <c r="S2184" s="20"/>
      <c r="T2184" s="20"/>
      <c r="U2184" s="20"/>
      <c r="V2184" s="20"/>
      <c r="W2184" s="20"/>
      <c r="X2184" s="20"/>
      <c r="Y2184" s="20"/>
    </row>
    <row r="2185" spans="1:25" x14ac:dyDescent="0.3">
      <c r="A2185" s="20"/>
      <c r="B2185" s="20"/>
      <c r="C2185" s="20"/>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row>
    <row r="2186" spans="1:25" x14ac:dyDescent="0.3">
      <c r="A2186" s="20"/>
      <c r="B2186" s="20"/>
      <c r="C2186" s="20"/>
      <c r="D2186" s="20"/>
      <c r="E2186" s="20"/>
      <c r="F2186" s="20"/>
      <c r="G2186" s="20"/>
      <c r="H2186" s="20"/>
      <c r="I2186" s="20"/>
      <c r="J2186" s="20"/>
      <c r="K2186" s="20"/>
      <c r="L2186" s="20"/>
      <c r="M2186" s="20"/>
      <c r="N2186" s="20"/>
      <c r="O2186" s="20"/>
      <c r="P2186" s="20"/>
      <c r="Q2186" s="20"/>
      <c r="R2186" s="20"/>
      <c r="S2186" s="20"/>
      <c r="T2186" s="20"/>
      <c r="U2186" s="20"/>
      <c r="V2186" s="20"/>
      <c r="W2186" s="20"/>
      <c r="X2186" s="20"/>
      <c r="Y2186" s="20"/>
    </row>
    <row r="2187" spans="1:25" x14ac:dyDescent="0.3">
      <c r="A2187" s="20"/>
      <c r="B2187" s="20"/>
      <c r="C2187" s="20"/>
      <c r="D2187" s="20"/>
      <c r="E2187" s="20"/>
      <c r="F2187" s="20"/>
      <c r="G2187" s="20"/>
      <c r="H2187" s="20"/>
      <c r="I2187" s="20"/>
      <c r="J2187" s="20"/>
      <c r="K2187" s="20"/>
      <c r="L2187" s="20"/>
      <c r="M2187" s="20"/>
      <c r="N2187" s="20"/>
      <c r="O2187" s="20"/>
      <c r="P2187" s="20"/>
      <c r="Q2187" s="20"/>
      <c r="R2187" s="20"/>
      <c r="S2187" s="20"/>
      <c r="T2187" s="20"/>
      <c r="U2187" s="20"/>
      <c r="V2187" s="20"/>
      <c r="W2187" s="20"/>
      <c r="X2187" s="20"/>
      <c r="Y2187" s="20"/>
    </row>
    <row r="2188" spans="1:25" x14ac:dyDescent="0.3">
      <c r="A2188" s="20"/>
      <c r="B2188" s="20"/>
      <c r="C2188" s="20"/>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row>
    <row r="2189" spans="1:25" x14ac:dyDescent="0.3">
      <c r="A2189" s="20"/>
      <c r="B2189" s="20"/>
      <c r="C2189" s="20"/>
      <c r="D2189" s="20"/>
      <c r="E2189" s="20"/>
      <c r="F2189" s="20"/>
      <c r="G2189" s="20"/>
      <c r="H2189" s="20"/>
      <c r="I2189" s="20"/>
      <c r="J2189" s="20"/>
      <c r="K2189" s="20"/>
      <c r="L2189" s="20"/>
      <c r="M2189" s="20"/>
      <c r="N2189" s="20"/>
      <c r="O2189" s="20"/>
      <c r="P2189" s="20"/>
      <c r="Q2189" s="20"/>
      <c r="R2189" s="20"/>
      <c r="S2189" s="20"/>
      <c r="T2189" s="20"/>
      <c r="U2189" s="20"/>
      <c r="V2189" s="20"/>
      <c r="W2189" s="20"/>
      <c r="X2189" s="20"/>
      <c r="Y2189" s="20"/>
    </row>
    <row r="2190" spans="1:25" x14ac:dyDescent="0.3">
      <c r="A2190" s="20"/>
      <c r="B2190" s="20"/>
      <c r="C2190" s="20"/>
      <c r="D2190" s="20"/>
      <c r="E2190" s="20"/>
      <c r="F2190" s="20"/>
      <c r="G2190" s="20"/>
      <c r="H2190" s="20"/>
      <c r="I2190" s="20"/>
      <c r="J2190" s="20"/>
      <c r="K2190" s="20"/>
      <c r="L2190" s="20"/>
      <c r="M2190" s="20"/>
      <c r="N2190" s="20"/>
      <c r="O2190" s="20"/>
      <c r="P2190" s="20"/>
      <c r="Q2190" s="20"/>
      <c r="R2190" s="20"/>
      <c r="S2190" s="20"/>
      <c r="T2190" s="20"/>
      <c r="U2190" s="20"/>
      <c r="V2190" s="20"/>
      <c r="W2190" s="20"/>
      <c r="X2190" s="20"/>
      <c r="Y2190" s="20"/>
    </row>
    <row r="2191" spans="1:25" x14ac:dyDescent="0.3">
      <c r="A2191" s="20"/>
      <c r="B2191" s="20"/>
      <c r="C2191" s="20"/>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row>
    <row r="2192" spans="1:25" x14ac:dyDescent="0.3">
      <c r="A2192" s="20"/>
      <c r="B2192" s="20"/>
      <c r="C2192" s="20"/>
      <c r="D2192" s="20"/>
      <c r="E2192" s="20"/>
      <c r="F2192" s="20"/>
      <c r="G2192" s="20"/>
      <c r="H2192" s="20"/>
      <c r="I2192" s="20"/>
      <c r="J2192" s="20"/>
      <c r="K2192" s="20"/>
      <c r="L2192" s="20"/>
      <c r="M2192" s="20"/>
      <c r="N2192" s="20"/>
      <c r="O2192" s="20"/>
      <c r="P2192" s="20"/>
      <c r="Q2192" s="20"/>
      <c r="R2192" s="20"/>
      <c r="S2192" s="20"/>
      <c r="T2192" s="20"/>
      <c r="U2192" s="20"/>
      <c r="V2192" s="20"/>
      <c r="W2192" s="20"/>
      <c r="X2192" s="20"/>
      <c r="Y2192" s="20"/>
    </row>
    <row r="2193" spans="1:25" x14ac:dyDescent="0.3">
      <c r="A2193" s="20"/>
      <c r="B2193" s="20"/>
      <c r="C2193" s="20"/>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row>
    <row r="2194" spans="1:25" x14ac:dyDescent="0.3">
      <c r="A2194" s="20"/>
      <c r="B2194" s="20"/>
      <c r="C2194" s="20"/>
      <c r="D2194" s="20"/>
      <c r="E2194" s="20"/>
      <c r="F2194" s="20"/>
      <c r="G2194" s="20"/>
      <c r="H2194" s="20"/>
      <c r="I2194" s="20"/>
      <c r="J2194" s="20"/>
      <c r="K2194" s="20"/>
      <c r="L2194" s="20"/>
      <c r="M2194" s="20"/>
      <c r="N2194" s="20"/>
      <c r="O2194" s="20"/>
      <c r="P2194" s="20"/>
      <c r="Q2194" s="20"/>
      <c r="R2194" s="20"/>
      <c r="S2194" s="20"/>
      <c r="T2194" s="20"/>
      <c r="U2194" s="20"/>
      <c r="V2194" s="20"/>
      <c r="W2194" s="20"/>
      <c r="X2194" s="20"/>
      <c r="Y2194" s="20"/>
    </row>
    <row r="2195" spans="1:25" x14ac:dyDescent="0.3">
      <c r="A2195" s="20"/>
      <c r="B2195" s="20"/>
      <c r="C2195" s="20"/>
      <c r="D2195" s="20"/>
      <c r="E2195" s="20"/>
      <c r="F2195" s="20"/>
      <c r="G2195" s="20"/>
      <c r="H2195" s="20"/>
      <c r="I2195" s="20"/>
      <c r="J2195" s="20"/>
      <c r="K2195" s="20"/>
      <c r="L2195" s="20"/>
      <c r="M2195" s="20"/>
      <c r="N2195" s="20"/>
      <c r="O2195" s="20"/>
      <c r="P2195" s="20"/>
      <c r="Q2195" s="20"/>
      <c r="R2195" s="20"/>
      <c r="S2195" s="20"/>
      <c r="T2195" s="20"/>
      <c r="U2195" s="20"/>
      <c r="V2195" s="20"/>
      <c r="W2195" s="20"/>
      <c r="X2195" s="20"/>
      <c r="Y2195" s="20"/>
    </row>
    <row r="2196" spans="1:25" x14ac:dyDescent="0.3">
      <c r="A2196" s="20"/>
      <c r="B2196" s="20"/>
      <c r="C2196" s="20"/>
      <c r="D2196" s="20"/>
      <c r="E2196" s="20"/>
      <c r="F2196" s="20"/>
      <c r="G2196" s="20"/>
      <c r="H2196" s="20"/>
      <c r="I2196" s="20"/>
      <c r="J2196" s="20"/>
      <c r="K2196" s="20"/>
      <c r="L2196" s="20"/>
      <c r="M2196" s="20"/>
      <c r="N2196" s="20"/>
      <c r="O2196" s="20"/>
      <c r="P2196" s="20"/>
      <c r="Q2196" s="20"/>
      <c r="R2196" s="20"/>
      <c r="S2196" s="20"/>
      <c r="T2196" s="20"/>
      <c r="U2196" s="20"/>
      <c r="V2196" s="20"/>
      <c r="W2196" s="20"/>
      <c r="X2196" s="20"/>
      <c r="Y2196" s="20"/>
    </row>
    <row r="2197" spans="1:25" x14ac:dyDescent="0.3">
      <c r="A2197" s="20"/>
      <c r="B2197" s="20"/>
      <c r="C2197" s="20"/>
      <c r="D2197" s="20"/>
      <c r="E2197" s="20"/>
      <c r="F2197" s="20"/>
      <c r="G2197" s="20"/>
      <c r="H2197" s="20"/>
      <c r="I2197" s="20"/>
      <c r="J2197" s="20"/>
      <c r="K2197" s="20"/>
      <c r="L2197" s="20"/>
      <c r="M2197" s="20"/>
      <c r="N2197" s="20"/>
      <c r="O2197" s="20"/>
      <c r="P2197" s="20"/>
      <c r="Q2197" s="20"/>
      <c r="R2197" s="20"/>
      <c r="S2197" s="20"/>
      <c r="T2197" s="20"/>
      <c r="U2197" s="20"/>
      <c r="V2197" s="20"/>
      <c r="W2197" s="20"/>
      <c r="X2197" s="20"/>
      <c r="Y2197" s="20"/>
    </row>
    <row r="2198" spans="1:25" x14ac:dyDescent="0.3">
      <c r="A2198" s="20"/>
      <c r="B2198" s="20"/>
      <c r="C2198" s="20"/>
      <c r="D2198" s="20"/>
      <c r="E2198" s="20"/>
      <c r="F2198" s="20"/>
      <c r="G2198" s="20"/>
      <c r="H2198" s="20"/>
      <c r="I2198" s="20"/>
      <c r="J2198" s="20"/>
      <c r="K2198" s="20"/>
      <c r="L2198" s="20"/>
      <c r="M2198" s="20"/>
      <c r="N2198" s="20"/>
      <c r="O2198" s="20"/>
      <c r="P2198" s="20"/>
      <c r="Q2198" s="20"/>
      <c r="R2198" s="20"/>
      <c r="S2198" s="20"/>
      <c r="T2198" s="20"/>
      <c r="U2198" s="20"/>
      <c r="V2198" s="20"/>
      <c r="W2198" s="20"/>
      <c r="X2198" s="20"/>
      <c r="Y2198" s="20"/>
    </row>
    <row r="2199" spans="1:25" x14ac:dyDescent="0.3">
      <c r="A2199" s="20"/>
      <c r="B2199" s="20"/>
      <c r="C2199" s="20"/>
      <c r="D2199" s="20"/>
      <c r="E2199" s="20"/>
      <c r="F2199" s="20"/>
      <c r="G2199" s="20"/>
      <c r="H2199" s="20"/>
      <c r="I2199" s="20"/>
      <c r="J2199" s="20"/>
      <c r="K2199" s="20"/>
      <c r="L2199" s="20"/>
      <c r="M2199" s="20"/>
      <c r="N2199" s="20"/>
      <c r="O2199" s="20"/>
      <c r="P2199" s="20"/>
      <c r="Q2199" s="20"/>
      <c r="R2199" s="20"/>
      <c r="S2199" s="20"/>
      <c r="T2199" s="20"/>
      <c r="U2199" s="20"/>
      <c r="V2199" s="20"/>
      <c r="W2199" s="20"/>
      <c r="X2199" s="20"/>
      <c r="Y2199" s="20"/>
    </row>
    <row r="2200" spans="1:25" x14ac:dyDescent="0.3">
      <c r="A2200" s="20"/>
      <c r="B2200" s="20"/>
      <c r="C2200" s="20"/>
      <c r="D2200" s="20"/>
      <c r="E2200" s="20"/>
      <c r="F2200" s="20"/>
      <c r="G2200" s="20"/>
      <c r="H2200" s="20"/>
      <c r="I2200" s="20"/>
      <c r="J2200" s="20"/>
      <c r="K2200" s="20"/>
      <c r="L2200" s="20"/>
      <c r="M2200" s="20"/>
      <c r="N2200" s="20"/>
      <c r="O2200" s="20"/>
      <c r="P2200" s="20"/>
      <c r="Q2200" s="20"/>
      <c r="R2200" s="20"/>
      <c r="S2200" s="20"/>
      <c r="T2200" s="20"/>
      <c r="U2200" s="20"/>
      <c r="V2200" s="20"/>
      <c r="W2200" s="20"/>
      <c r="X2200" s="20"/>
      <c r="Y2200" s="20"/>
    </row>
    <row r="2201" spans="1:25" x14ac:dyDescent="0.3">
      <c r="A2201" s="20"/>
      <c r="B2201" s="20"/>
      <c r="C2201" s="20"/>
      <c r="D2201" s="20"/>
      <c r="E2201" s="20"/>
      <c r="F2201" s="20"/>
      <c r="G2201" s="20"/>
      <c r="H2201" s="20"/>
      <c r="I2201" s="20"/>
      <c r="J2201" s="20"/>
      <c r="K2201" s="20"/>
      <c r="L2201" s="20"/>
      <c r="M2201" s="20"/>
      <c r="N2201" s="20"/>
      <c r="O2201" s="20"/>
      <c r="P2201" s="20"/>
      <c r="Q2201" s="20"/>
      <c r="R2201" s="20"/>
      <c r="S2201" s="20"/>
      <c r="T2201" s="20"/>
      <c r="U2201" s="20"/>
      <c r="V2201" s="20"/>
      <c r="W2201" s="20"/>
      <c r="X2201" s="20"/>
      <c r="Y2201" s="20"/>
    </row>
    <row r="2202" spans="1:25" x14ac:dyDescent="0.3">
      <c r="A2202" s="20"/>
      <c r="B2202" s="20"/>
      <c r="C2202" s="20"/>
      <c r="D2202" s="20"/>
      <c r="E2202" s="20"/>
      <c r="F2202" s="20"/>
      <c r="G2202" s="20"/>
      <c r="H2202" s="20"/>
      <c r="I2202" s="20"/>
      <c r="J2202" s="20"/>
      <c r="K2202" s="20"/>
      <c r="L2202" s="20"/>
      <c r="M2202" s="20"/>
      <c r="N2202" s="20"/>
      <c r="O2202" s="20"/>
      <c r="P2202" s="20"/>
      <c r="Q2202" s="20"/>
      <c r="R2202" s="20"/>
      <c r="S2202" s="20"/>
      <c r="T2202" s="20"/>
      <c r="U2202" s="20"/>
      <c r="V2202" s="20"/>
      <c r="W2202" s="20"/>
      <c r="X2202" s="20"/>
      <c r="Y2202" s="20"/>
    </row>
    <row r="2203" spans="1:25" x14ac:dyDescent="0.3">
      <c r="A2203" s="20"/>
      <c r="B2203" s="20"/>
      <c r="C2203" s="20"/>
      <c r="D2203" s="20"/>
      <c r="E2203" s="20"/>
      <c r="F2203" s="20"/>
      <c r="G2203" s="20"/>
      <c r="H2203" s="20"/>
      <c r="I2203" s="20"/>
      <c r="J2203" s="20"/>
      <c r="K2203" s="20"/>
      <c r="L2203" s="20"/>
      <c r="M2203" s="20"/>
      <c r="N2203" s="20"/>
      <c r="O2203" s="20"/>
      <c r="P2203" s="20"/>
      <c r="Q2203" s="20"/>
      <c r="R2203" s="20"/>
      <c r="S2203" s="20"/>
      <c r="T2203" s="20"/>
      <c r="U2203" s="20"/>
      <c r="V2203" s="20"/>
      <c r="W2203" s="20"/>
      <c r="X2203" s="20"/>
      <c r="Y2203" s="20"/>
    </row>
    <row r="2204" spans="1:25" x14ac:dyDescent="0.3">
      <c r="A2204" s="20"/>
      <c r="B2204" s="20"/>
      <c r="C2204" s="20"/>
      <c r="D2204" s="20"/>
      <c r="E2204" s="20"/>
      <c r="F2204" s="20"/>
      <c r="G2204" s="20"/>
      <c r="H2204" s="20"/>
      <c r="I2204" s="20"/>
      <c r="J2204" s="20"/>
      <c r="K2204" s="20"/>
      <c r="L2204" s="20"/>
      <c r="M2204" s="20"/>
      <c r="N2204" s="20"/>
      <c r="O2204" s="20"/>
      <c r="P2204" s="20"/>
      <c r="Q2204" s="20"/>
      <c r="R2204" s="20"/>
      <c r="S2204" s="20"/>
      <c r="T2204" s="20"/>
      <c r="U2204" s="20"/>
      <c r="V2204" s="20"/>
      <c r="W2204" s="20"/>
      <c r="X2204" s="20"/>
      <c r="Y2204" s="20"/>
    </row>
    <row r="2205" spans="1:25" x14ac:dyDescent="0.3">
      <c r="A2205" s="20"/>
      <c r="B2205" s="20"/>
      <c r="C2205" s="20"/>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row>
    <row r="2206" spans="1:25" x14ac:dyDescent="0.3">
      <c r="A2206" s="20"/>
      <c r="B2206" s="20"/>
      <c r="C2206" s="20"/>
      <c r="D2206" s="20"/>
      <c r="E2206" s="20"/>
      <c r="F2206" s="20"/>
      <c r="G2206" s="20"/>
      <c r="H2206" s="20"/>
      <c r="I2206" s="20"/>
      <c r="J2206" s="20"/>
      <c r="K2206" s="20"/>
      <c r="L2206" s="20"/>
      <c r="M2206" s="20"/>
      <c r="N2206" s="20"/>
      <c r="O2206" s="20"/>
      <c r="P2206" s="20"/>
      <c r="Q2206" s="20"/>
      <c r="R2206" s="20"/>
      <c r="S2206" s="20"/>
      <c r="T2206" s="20"/>
      <c r="U2206" s="20"/>
      <c r="V2206" s="20"/>
      <c r="W2206" s="20"/>
      <c r="X2206" s="20"/>
      <c r="Y2206" s="20"/>
    </row>
    <row r="2207" spans="1:25" x14ac:dyDescent="0.3">
      <c r="A2207" s="20"/>
      <c r="B2207" s="20"/>
      <c r="C2207" s="20"/>
      <c r="D2207" s="20"/>
      <c r="E2207" s="20"/>
      <c r="F2207" s="20"/>
      <c r="G2207" s="20"/>
      <c r="H2207" s="20"/>
      <c r="I2207" s="20"/>
      <c r="J2207" s="20"/>
      <c r="K2207" s="20"/>
      <c r="L2207" s="20"/>
      <c r="M2207" s="20"/>
      <c r="N2207" s="20"/>
      <c r="O2207" s="20"/>
      <c r="P2207" s="20"/>
      <c r="Q2207" s="20"/>
      <c r="R2207" s="20"/>
      <c r="S2207" s="20"/>
      <c r="T2207" s="20"/>
      <c r="U2207" s="20"/>
      <c r="V2207" s="20"/>
      <c r="W2207" s="20"/>
      <c r="X2207" s="20"/>
      <c r="Y2207" s="20"/>
    </row>
    <row r="2208" spans="1:25" x14ac:dyDescent="0.3">
      <c r="A2208" s="20"/>
      <c r="B2208" s="20"/>
      <c r="C2208" s="20"/>
      <c r="D2208" s="20"/>
      <c r="E2208" s="20"/>
      <c r="F2208" s="20"/>
      <c r="G2208" s="20"/>
      <c r="H2208" s="20"/>
      <c r="I2208" s="20"/>
      <c r="J2208" s="20"/>
      <c r="K2208" s="20"/>
      <c r="L2208" s="20"/>
      <c r="M2208" s="20"/>
      <c r="N2208" s="20"/>
      <c r="O2208" s="20"/>
      <c r="P2208" s="20"/>
      <c r="Q2208" s="20"/>
      <c r="R2208" s="20"/>
      <c r="S2208" s="20"/>
      <c r="T2208" s="20"/>
      <c r="U2208" s="20"/>
      <c r="V2208" s="20"/>
      <c r="W2208" s="20"/>
      <c r="X2208" s="20"/>
      <c r="Y2208" s="20"/>
    </row>
    <row r="2209" spans="1:25" x14ac:dyDescent="0.3">
      <c r="A2209" s="20"/>
      <c r="B2209" s="20"/>
      <c r="C2209" s="20"/>
      <c r="D2209" s="20"/>
      <c r="E2209" s="20"/>
      <c r="F2209" s="20"/>
      <c r="G2209" s="20"/>
      <c r="H2209" s="20"/>
      <c r="I2209" s="20"/>
      <c r="J2209" s="20"/>
      <c r="K2209" s="20"/>
      <c r="L2209" s="20"/>
      <c r="M2209" s="20"/>
      <c r="N2209" s="20"/>
      <c r="O2209" s="20"/>
      <c r="P2209" s="20"/>
      <c r="Q2209" s="20"/>
      <c r="R2209" s="20"/>
      <c r="S2209" s="20"/>
      <c r="T2209" s="20"/>
      <c r="U2209" s="20"/>
      <c r="V2209" s="20"/>
      <c r="W2209" s="20"/>
      <c r="X2209" s="20"/>
      <c r="Y2209" s="20"/>
    </row>
    <row r="2210" spans="1:25" x14ac:dyDescent="0.3">
      <c r="A2210" s="20"/>
      <c r="B2210" s="20"/>
      <c r="C2210" s="20"/>
      <c r="D2210" s="20"/>
      <c r="E2210" s="20"/>
      <c r="F2210" s="20"/>
      <c r="G2210" s="20"/>
      <c r="H2210" s="20"/>
      <c r="I2210" s="20"/>
      <c r="J2210" s="20"/>
      <c r="K2210" s="20"/>
      <c r="L2210" s="20"/>
      <c r="M2210" s="20"/>
      <c r="N2210" s="20"/>
      <c r="O2210" s="20"/>
      <c r="P2210" s="20"/>
      <c r="Q2210" s="20"/>
      <c r="R2210" s="20"/>
      <c r="S2210" s="20"/>
      <c r="T2210" s="20"/>
      <c r="U2210" s="20"/>
      <c r="V2210" s="20"/>
      <c r="W2210" s="20"/>
      <c r="X2210" s="20"/>
      <c r="Y2210" s="20"/>
    </row>
    <row r="2211" spans="1:25" x14ac:dyDescent="0.3">
      <c r="A2211" s="20"/>
      <c r="B2211" s="20"/>
      <c r="C2211" s="20"/>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row>
    <row r="2212" spans="1:25" x14ac:dyDescent="0.3">
      <c r="A2212" s="20"/>
      <c r="B2212" s="20"/>
      <c r="C2212" s="20"/>
      <c r="D2212" s="20"/>
      <c r="E2212" s="20"/>
      <c r="F2212" s="20"/>
      <c r="G2212" s="20"/>
      <c r="H2212" s="20"/>
      <c r="I2212" s="20"/>
      <c r="J2212" s="20"/>
      <c r="K2212" s="20"/>
      <c r="L2212" s="20"/>
      <c r="M2212" s="20"/>
      <c r="N2212" s="20"/>
      <c r="O2212" s="20"/>
      <c r="P2212" s="20"/>
      <c r="Q2212" s="20"/>
      <c r="R2212" s="20"/>
      <c r="S2212" s="20"/>
      <c r="T2212" s="20"/>
      <c r="U2212" s="20"/>
      <c r="V2212" s="20"/>
      <c r="W2212" s="20"/>
      <c r="X2212" s="20"/>
      <c r="Y2212" s="20"/>
    </row>
    <row r="2213" spans="1:25" x14ac:dyDescent="0.3">
      <c r="A2213" s="20"/>
      <c r="B2213" s="20"/>
      <c r="C2213" s="20"/>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row>
    <row r="2214" spans="1:25" x14ac:dyDescent="0.3">
      <c r="A2214" s="20"/>
      <c r="B2214" s="20"/>
      <c r="C2214" s="20"/>
      <c r="D2214" s="20"/>
      <c r="E2214" s="20"/>
      <c r="F2214" s="20"/>
      <c r="G2214" s="20"/>
      <c r="H2214" s="20"/>
      <c r="I2214" s="20"/>
      <c r="J2214" s="20"/>
      <c r="K2214" s="20"/>
      <c r="L2214" s="20"/>
      <c r="M2214" s="20"/>
      <c r="N2214" s="20"/>
      <c r="O2214" s="20"/>
      <c r="P2214" s="20"/>
      <c r="Q2214" s="20"/>
      <c r="R2214" s="20"/>
      <c r="S2214" s="20"/>
      <c r="T2214" s="20"/>
      <c r="U2214" s="20"/>
      <c r="V2214" s="20"/>
      <c r="W2214" s="20"/>
      <c r="X2214" s="20"/>
      <c r="Y2214" s="20"/>
    </row>
    <row r="2215" spans="1:25" x14ac:dyDescent="0.3">
      <c r="A2215" s="20"/>
      <c r="B2215" s="20"/>
      <c r="C2215" s="20"/>
      <c r="D2215" s="20"/>
      <c r="E2215" s="20"/>
      <c r="F2215" s="20"/>
      <c r="G2215" s="20"/>
      <c r="H2215" s="20"/>
      <c r="I2215" s="20"/>
      <c r="J2215" s="20"/>
      <c r="K2215" s="20"/>
      <c r="L2215" s="20"/>
      <c r="M2215" s="20"/>
      <c r="N2215" s="20"/>
      <c r="O2215" s="20"/>
      <c r="P2215" s="20"/>
      <c r="Q2215" s="20"/>
      <c r="R2215" s="20"/>
      <c r="S2215" s="20"/>
      <c r="T2215" s="20"/>
      <c r="U2215" s="20"/>
      <c r="V2215" s="20"/>
      <c r="W2215" s="20"/>
      <c r="X2215" s="20"/>
      <c r="Y2215" s="20"/>
    </row>
    <row r="2216" spans="1:25" x14ac:dyDescent="0.3">
      <c r="A2216" s="20"/>
      <c r="B2216" s="20"/>
      <c r="C2216" s="20"/>
      <c r="D2216" s="20"/>
      <c r="E2216" s="20"/>
      <c r="F2216" s="20"/>
      <c r="G2216" s="20"/>
      <c r="H2216" s="20"/>
      <c r="I2216" s="20"/>
      <c r="J2216" s="20"/>
      <c r="K2216" s="20"/>
      <c r="L2216" s="20"/>
      <c r="M2216" s="20"/>
      <c r="N2216" s="20"/>
      <c r="O2216" s="20"/>
      <c r="P2216" s="20"/>
      <c r="Q2216" s="20"/>
      <c r="R2216" s="20"/>
      <c r="S2216" s="20"/>
      <c r="T2216" s="20"/>
      <c r="U2216" s="20"/>
      <c r="V2216" s="20"/>
      <c r="W2216" s="20"/>
      <c r="X2216" s="20"/>
      <c r="Y2216" s="20"/>
    </row>
    <row r="2217" spans="1:25" x14ac:dyDescent="0.3">
      <c r="A2217" s="20"/>
      <c r="B2217" s="20"/>
      <c r="C2217" s="20"/>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row>
    <row r="2218" spans="1:25" x14ac:dyDescent="0.3">
      <c r="A2218" s="20"/>
      <c r="B2218" s="20"/>
      <c r="C2218" s="20"/>
      <c r="D2218" s="20"/>
      <c r="E2218" s="20"/>
      <c r="F2218" s="20"/>
      <c r="G2218" s="20"/>
      <c r="H2218" s="20"/>
      <c r="I2218" s="20"/>
      <c r="J2218" s="20"/>
      <c r="K2218" s="20"/>
      <c r="L2218" s="20"/>
      <c r="M2218" s="20"/>
      <c r="N2218" s="20"/>
      <c r="O2218" s="20"/>
      <c r="P2218" s="20"/>
      <c r="Q2218" s="20"/>
      <c r="R2218" s="20"/>
      <c r="S2218" s="20"/>
      <c r="T2218" s="20"/>
      <c r="U2218" s="20"/>
      <c r="V2218" s="20"/>
      <c r="W2218" s="20"/>
      <c r="X2218" s="20"/>
      <c r="Y2218" s="20"/>
    </row>
    <row r="2219" spans="1:25" x14ac:dyDescent="0.3">
      <c r="A2219" s="20"/>
      <c r="B2219" s="20"/>
      <c r="C2219" s="20"/>
      <c r="D2219" s="20"/>
      <c r="E2219" s="20"/>
      <c r="F2219" s="20"/>
      <c r="G2219" s="20"/>
      <c r="H2219" s="20"/>
      <c r="I2219" s="20"/>
      <c r="J2219" s="20"/>
      <c r="K2219" s="20"/>
      <c r="L2219" s="20"/>
      <c r="M2219" s="20"/>
      <c r="N2219" s="20"/>
      <c r="O2219" s="20"/>
      <c r="P2219" s="20"/>
      <c r="Q2219" s="20"/>
      <c r="R2219" s="20"/>
      <c r="S2219" s="20"/>
      <c r="T2219" s="20"/>
      <c r="U2219" s="20"/>
      <c r="V2219" s="20"/>
      <c r="W2219" s="20"/>
      <c r="X2219" s="20"/>
      <c r="Y2219" s="20"/>
    </row>
    <row r="2220" spans="1:25" x14ac:dyDescent="0.3">
      <c r="A2220" s="20"/>
      <c r="B2220" s="20"/>
      <c r="C2220" s="20"/>
      <c r="D2220" s="20"/>
      <c r="E2220" s="20"/>
      <c r="F2220" s="20"/>
      <c r="G2220" s="20"/>
      <c r="H2220" s="20"/>
      <c r="I2220" s="20"/>
      <c r="J2220" s="20"/>
      <c r="K2220" s="20"/>
      <c r="L2220" s="20"/>
      <c r="M2220" s="20"/>
      <c r="N2220" s="20"/>
      <c r="O2220" s="20"/>
      <c r="P2220" s="20"/>
      <c r="Q2220" s="20"/>
      <c r="R2220" s="20"/>
      <c r="S2220" s="20"/>
      <c r="T2220" s="20"/>
      <c r="U2220" s="20"/>
      <c r="V2220" s="20"/>
      <c r="W2220" s="20"/>
      <c r="X2220" s="20"/>
      <c r="Y2220" s="20"/>
    </row>
    <row r="2221" spans="1:25" x14ac:dyDescent="0.3">
      <c r="A2221" s="20"/>
      <c r="B2221" s="20"/>
      <c r="C2221" s="20"/>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row>
    <row r="2222" spans="1:25" x14ac:dyDescent="0.3">
      <c r="A2222" s="20"/>
      <c r="B2222" s="20"/>
      <c r="C2222" s="20"/>
      <c r="D2222" s="20"/>
      <c r="E2222" s="20"/>
      <c r="F2222" s="20"/>
      <c r="G2222" s="20"/>
      <c r="H2222" s="20"/>
      <c r="I2222" s="20"/>
      <c r="J2222" s="20"/>
      <c r="K2222" s="20"/>
      <c r="L2222" s="20"/>
      <c r="M2222" s="20"/>
      <c r="N2222" s="20"/>
      <c r="O2222" s="20"/>
      <c r="P2222" s="20"/>
      <c r="Q2222" s="20"/>
      <c r="R2222" s="20"/>
      <c r="S2222" s="20"/>
      <c r="T2222" s="20"/>
      <c r="U2222" s="20"/>
      <c r="V2222" s="20"/>
      <c r="W2222" s="20"/>
      <c r="X2222" s="20"/>
      <c r="Y2222" s="20"/>
    </row>
    <row r="2223" spans="1:25" x14ac:dyDescent="0.3">
      <c r="A2223" s="20"/>
      <c r="B2223" s="20"/>
      <c r="C2223" s="20"/>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row>
    <row r="2224" spans="1:25" x14ac:dyDescent="0.3">
      <c r="A2224" s="20"/>
      <c r="B2224" s="20"/>
      <c r="C2224" s="20"/>
      <c r="D2224" s="20"/>
      <c r="E2224" s="20"/>
      <c r="F2224" s="20"/>
      <c r="G2224" s="20"/>
      <c r="H2224" s="20"/>
      <c r="I2224" s="20"/>
      <c r="J2224" s="20"/>
      <c r="K2224" s="20"/>
      <c r="L2224" s="20"/>
      <c r="M2224" s="20"/>
      <c r="N2224" s="20"/>
      <c r="O2224" s="20"/>
      <c r="P2224" s="20"/>
      <c r="Q2224" s="20"/>
      <c r="R2224" s="20"/>
      <c r="S2224" s="20"/>
      <c r="T2224" s="20"/>
      <c r="U2224" s="20"/>
      <c r="V2224" s="20"/>
      <c r="W2224" s="20"/>
      <c r="X2224" s="20"/>
      <c r="Y2224" s="20"/>
    </row>
    <row r="2225" spans="1:25" x14ac:dyDescent="0.3">
      <c r="A2225" s="20"/>
      <c r="B2225" s="20"/>
      <c r="C2225" s="20"/>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row>
    <row r="2226" spans="1:25" x14ac:dyDescent="0.3">
      <c r="A2226" s="20"/>
      <c r="B2226" s="20"/>
      <c r="C2226" s="20"/>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row>
    <row r="2227" spans="1:25" x14ac:dyDescent="0.3">
      <c r="A2227" s="20"/>
      <c r="B2227" s="20"/>
      <c r="C2227" s="20"/>
      <c r="D2227" s="20"/>
      <c r="E2227" s="20"/>
      <c r="F2227" s="20"/>
      <c r="G2227" s="20"/>
      <c r="H2227" s="20"/>
      <c r="I2227" s="20"/>
      <c r="J2227" s="20"/>
      <c r="K2227" s="20"/>
      <c r="L2227" s="20"/>
      <c r="M2227" s="20"/>
      <c r="N2227" s="20"/>
      <c r="O2227" s="20"/>
      <c r="P2227" s="20"/>
      <c r="Q2227" s="20"/>
      <c r="R2227" s="20"/>
      <c r="S2227" s="20"/>
      <c r="T2227" s="20"/>
      <c r="U2227" s="20"/>
      <c r="V2227" s="20"/>
      <c r="W2227" s="20"/>
      <c r="X2227" s="20"/>
      <c r="Y2227" s="20"/>
    </row>
    <row r="2228" spans="1:25" x14ac:dyDescent="0.3">
      <c r="A2228" s="20"/>
      <c r="B2228" s="20"/>
      <c r="C2228" s="20"/>
      <c r="D2228" s="20"/>
      <c r="E2228" s="20"/>
      <c r="F2228" s="20"/>
      <c r="G2228" s="20"/>
      <c r="H2228" s="20"/>
      <c r="I2228" s="20"/>
      <c r="J2228" s="20"/>
      <c r="K2228" s="20"/>
      <c r="L2228" s="20"/>
      <c r="M2228" s="20"/>
      <c r="N2228" s="20"/>
      <c r="O2228" s="20"/>
      <c r="P2228" s="20"/>
      <c r="Q2228" s="20"/>
      <c r="R2228" s="20"/>
      <c r="S2228" s="20"/>
      <c r="T2228" s="20"/>
      <c r="U2228" s="20"/>
      <c r="V2228" s="20"/>
      <c r="W2228" s="20"/>
      <c r="X2228" s="20"/>
      <c r="Y2228" s="20"/>
    </row>
    <row r="2229" spans="1:25" x14ac:dyDescent="0.3">
      <c r="A2229" s="20"/>
      <c r="B2229" s="20"/>
      <c r="C2229" s="20"/>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row>
    <row r="2230" spans="1:25" x14ac:dyDescent="0.3">
      <c r="A2230" s="20"/>
      <c r="B2230" s="20"/>
      <c r="C2230" s="20"/>
      <c r="D2230" s="20"/>
      <c r="E2230" s="20"/>
      <c r="F2230" s="20"/>
      <c r="G2230" s="20"/>
      <c r="H2230" s="20"/>
      <c r="I2230" s="20"/>
      <c r="J2230" s="20"/>
      <c r="K2230" s="20"/>
      <c r="L2230" s="20"/>
      <c r="M2230" s="20"/>
      <c r="N2230" s="20"/>
      <c r="O2230" s="20"/>
      <c r="P2230" s="20"/>
      <c r="Q2230" s="20"/>
      <c r="R2230" s="20"/>
      <c r="S2230" s="20"/>
      <c r="T2230" s="20"/>
      <c r="U2230" s="20"/>
      <c r="V2230" s="20"/>
      <c r="W2230" s="20"/>
      <c r="X2230" s="20"/>
      <c r="Y2230" s="20"/>
    </row>
    <row r="2231" spans="1:25" x14ac:dyDescent="0.3">
      <c r="A2231" s="20"/>
      <c r="B2231" s="20"/>
      <c r="C2231" s="20"/>
      <c r="D2231" s="20"/>
      <c r="E2231" s="20"/>
      <c r="F2231" s="20"/>
      <c r="G2231" s="20"/>
      <c r="H2231" s="20"/>
      <c r="I2231" s="20"/>
      <c r="J2231" s="20"/>
      <c r="K2231" s="20"/>
      <c r="L2231" s="20"/>
      <c r="M2231" s="20"/>
      <c r="N2231" s="20"/>
      <c r="O2231" s="20"/>
      <c r="P2231" s="20"/>
      <c r="Q2231" s="20"/>
      <c r="R2231" s="20"/>
      <c r="S2231" s="20"/>
      <c r="T2231" s="20"/>
      <c r="U2231" s="20"/>
      <c r="V2231" s="20"/>
      <c r="W2231" s="20"/>
      <c r="X2231" s="20"/>
      <c r="Y2231" s="20"/>
    </row>
    <row r="2232" spans="1:25" x14ac:dyDescent="0.3">
      <c r="A2232" s="20"/>
      <c r="B2232" s="20"/>
      <c r="C2232" s="20"/>
      <c r="D2232" s="20"/>
      <c r="E2232" s="20"/>
      <c r="F2232" s="20"/>
      <c r="G2232" s="20"/>
      <c r="H2232" s="20"/>
      <c r="I2232" s="20"/>
      <c r="J2232" s="20"/>
      <c r="K2232" s="20"/>
      <c r="L2232" s="20"/>
      <c r="M2232" s="20"/>
      <c r="N2232" s="20"/>
      <c r="O2232" s="20"/>
      <c r="P2232" s="20"/>
      <c r="Q2232" s="20"/>
      <c r="R2232" s="20"/>
      <c r="S2232" s="20"/>
      <c r="T2232" s="20"/>
      <c r="U2232" s="20"/>
      <c r="V2232" s="20"/>
      <c r="W2232" s="20"/>
      <c r="X2232" s="20"/>
      <c r="Y2232" s="20"/>
    </row>
    <row r="2233" spans="1:25" x14ac:dyDescent="0.3">
      <c r="A2233" s="20"/>
      <c r="B2233" s="20"/>
      <c r="C2233" s="20"/>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row>
    <row r="2234" spans="1:25" x14ac:dyDescent="0.3">
      <c r="A2234" s="20"/>
      <c r="B2234" s="20"/>
      <c r="C2234" s="20"/>
      <c r="D2234" s="20"/>
      <c r="E2234" s="20"/>
      <c r="F2234" s="20"/>
      <c r="G2234" s="20"/>
      <c r="H2234" s="20"/>
      <c r="I2234" s="20"/>
      <c r="J2234" s="20"/>
      <c r="K2234" s="20"/>
      <c r="L2234" s="20"/>
      <c r="M2234" s="20"/>
      <c r="N2234" s="20"/>
      <c r="O2234" s="20"/>
      <c r="P2234" s="20"/>
      <c r="Q2234" s="20"/>
      <c r="R2234" s="20"/>
      <c r="S2234" s="20"/>
      <c r="T2234" s="20"/>
      <c r="U2234" s="20"/>
      <c r="V2234" s="20"/>
      <c r="W2234" s="20"/>
      <c r="X2234" s="20"/>
      <c r="Y2234" s="20"/>
    </row>
    <row r="2235" spans="1:25" x14ac:dyDescent="0.3">
      <c r="A2235" s="20"/>
      <c r="B2235" s="20"/>
      <c r="C2235" s="20"/>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row>
    <row r="2236" spans="1:25" x14ac:dyDescent="0.3">
      <c r="A2236" s="20"/>
      <c r="B2236" s="20"/>
      <c r="C2236" s="20"/>
      <c r="D2236" s="20"/>
      <c r="E2236" s="20"/>
      <c r="F2236" s="20"/>
      <c r="G2236" s="20"/>
      <c r="H2236" s="20"/>
      <c r="I2236" s="20"/>
      <c r="J2236" s="20"/>
      <c r="K2236" s="20"/>
      <c r="L2236" s="20"/>
      <c r="M2236" s="20"/>
      <c r="N2236" s="20"/>
      <c r="O2236" s="20"/>
      <c r="P2236" s="20"/>
      <c r="Q2236" s="20"/>
      <c r="R2236" s="20"/>
      <c r="S2236" s="20"/>
      <c r="T2236" s="20"/>
      <c r="U2236" s="20"/>
      <c r="V2236" s="20"/>
      <c r="W2236" s="20"/>
      <c r="X2236" s="20"/>
      <c r="Y2236" s="20"/>
    </row>
    <row r="2237" spans="1:25" x14ac:dyDescent="0.3">
      <c r="A2237" s="20"/>
      <c r="B2237" s="20"/>
      <c r="C2237" s="20"/>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row>
    <row r="2238" spans="1:25" x14ac:dyDescent="0.3">
      <c r="A2238" s="20"/>
      <c r="B2238" s="20"/>
      <c r="C2238" s="20"/>
      <c r="D2238" s="20"/>
      <c r="E2238" s="20"/>
      <c r="F2238" s="20"/>
      <c r="G2238" s="20"/>
      <c r="H2238" s="20"/>
      <c r="I2238" s="20"/>
      <c r="J2238" s="20"/>
      <c r="K2238" s="20"/>
      <c r="L2238" s="20"/>
      <c r="M2238" s="20"/>
      <c r="N2238" s="20"/>
      <c r="O2238" s="20"/>
      <c r="P2238" s="20"/>
      <c r="Q2238" s="20"/>
      <c r="R2238" s="20"/>
      <c r="S2238" s="20"/>
      <c r="T2238" s="20"/>
      <c r="U2238" s="20"/>
      <c r="V2238" s="20"/>
      <c r="W2238" s="20"/>
      <c r="X2238" s="20"/>
      <c r="Y2238" s="20"/>
    </row>
    <row r="2239" spans="1:25" x14ac:dyDescent="0.3">
      <c r="A2239" s="20"/>
      <c r="B2239" s="20"/>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row>
    <row r="2240" spans="1:25" x14ac:dyDescent="0.3">
      <c r="A2240" s="20"/>
      <c r="B2240" s="20"/>
      <c r="C2240" s="20"/>
      <c r="D2240" s="20"/>
      <c r="E2240" s="20"/>
      <c r="F2240" s="20"/>
      <c r="G2240" s="20"/>
      <c r="H2240" s="20"/>
      <c r="I2240" s="20"/>
      <c r="J2240" s="20"/>
      <c r="K2240" s="20"/>
      <c r="L2240" s="20"/>
      <c r="M2240" s="20"/>
      <c r="N2240" s="20"/>
      <c r="O2240" s="20"/>
      <c r="P2240" s="20"/>
      <c r="Q2240" s="20"/>
      <c r="R2240" s="20"/>
      <c r="S2240" s="20"/>
      <c r="T2240" s="20"/>
      <c r="U2240" s="20"/>
      <c r="V2240" s="20"/>
      <c r="W2240" s="20"/>
      <c r="X2240" s="20"/>
      <c r="Y2240" s="20"/>
    </row>
    <row r="2241" spans="1:25" x14ac:dyDescent="0.3">
      <c r="A2241" s="20"/>
      <c r="B2241" s="20"/>
      <c r="C2241" s="20"/>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row>
    <row r="2242" spans="1:25" x14ac:dyDescent="0.3">
      <c r="A2242" s="20"/>
      <c r="B2242" s="20"/>
      <c r="C2242" s="20"/>
      <c r="D2242" s="20"/>
      <c r="E2242" s="20"/>
      <c r="F2242" s="20"/>
      <c r="G2242" s="20"/>
      <c r="H2242" s="20"/>
      <c r="I2242" s="20"/>
      <c r="J2242" s="20"/>
      <c r="K2242" s="20"/>
      <c r="L2242" s="20"/>
      <c r="M2242" s="20"/>
      <c r="N2242" s="20"/>
      <c r="O2242" s="20"/>
      <c r="P2242" s="20"/>
      <c r="Q2242" s="20"/>
      <c r="R2242" s="20"/>
      <c r="S2242" s="20"/>
      <c r="T2242" s="20"/>
      <c r="U2242" s="20"/>
      <c r="V2242" s="20"/>
      <c r="W2242" s="20"/>
      <c r="X2242" s="20"/>
      <c r="Y2242" s="20"/>
    </row>
    <row r="2243" spans="1:25" x14ac:dyDescent="0.3">
      <c r="A2243" s="20"/>
      <c r="B2243" s="20"/>
      <c r="C2243" s="20"/>
      <c r="D2243" s="20"/>
      <c r="E2243" s="20"/>
      <c r="F2243" s="20"/>
      <c r="G2243" s="20"/>
      <c r="H2243" s="20"/>
      <c r="I2243" s="20"/>
      <c r="J2243" s="20"/>
      <c r="K2243" s="20"/>
      <c r="L2243" s="20"/>
      <c r="M2243" s="20"/>
      <c r="N2243" s="20"/>
      <c r="O2243" s="20"/>
      <c r="P2243" s="20"/>
      <c r="Q2243" s="20"/>
      <c r="R2243" s="20"/>
      <c r="S2243" s="20"/>
      <c r="T2243" s="20"/>
      <c r="U2243" s="20"/>
      <c r="V2243" s="20"/>
      <c r="W2243" s="20"/>
      <c r="X2243" s="20"/>
      <c r="Y2243" s="20"/>
    </row>
    <row r="2244" spans="1:25" x14ac:dyDescent="0.3">
      <c r="A2244" s="20"/>
      <c r="B2244" s="20"/>
      <c r="C2244" s="20"/>
      <c r="D2244" s="20"/>
      <c r="E2244" s="20"/>
      <c r="F2244" s="20"/>
      <c r="G2244" s="20"/>
      <c r="H2244" s="20"/>
      <c r="I2244" s="20"/>
      <c r="J2244" s="20"/>
      <c r="K2244" s="20"/>
      <c r="L2244" s="20"/>
      <c r="M2244" s="20"/>
      <c r="N2244" s="20"/>
      <c r="O2244" s="20"/>
      <c r="P2244" s="20"/>
      <c r="Q2244" s="20"/>
      <c r="R2244" s="20"/>
      <c r="S2244" s="20"/>
      <c r="T2244" s="20"/>
      <c r="U2244" s="20"/>
      <c r="V2244" s="20"/>
      <c r="W2244" s="20"/>
      <c r="X2244" s="20"/>
      <c r="Y2244" s="20"/>
    </row>
    <row r="2245" spans="1:25" x14ac:dyDescent="0.3">
      <c r="A2245" s="20"/>
      <c r="B2245" s="20"/>
      <c r="C2245" s="20"/>
      <c r="D2245" s="20"/>
      <c r="E2245" s="20"/>
      <c r="F2245" s="20"/>
      <c r="G2245" s="20"/>
      <c r="H2245" s="20"/>
      <c r="I2245" s="20"/>
      <c r="J2245" s="20"/>
      <c r="K2245" s="20"/>
      <c r="L2245" s="20"/>
      <c r="M2245" s="20"/>
      <c r="N2245" s="20"/>
      <c r="O2245" s="20"/>
      <c r="P2245" s="20"/>
      <c r="Q2245" s="20"/>
      <c r="R2245" s="20"/>
      <c r="S2245" s="20"/>
      <c r="T2245" s="20"/>
      <c r="U2245" s="20"/>
      <c r="V2245" s="20"/>
      <c r="W2245" s="20"/>
      <c r="X2245" s="20"/>
      <c r="Y2245" s="20"/>
    </row>
    <row r="2246" spans="1:25" x14ac:dyDescent="0.3">
      <c r="A2246" s="20"/>
      <c r="B2246" s="20"/>
      <c r="C2246" s="20"/>
      <c r="D2246" s="20"/>
      <c r="E2246" s="20"/>
      <c r="F2246" s="20"/>
      <c r="G2246" s="20"/>
      <c r="H2246" s="20"/>
      <c r="I2246" s="20"/>
      <c r="J2246" s="20"/>
      <c r="K2246" s="20"/>
      <c r="L2246" s="20"/>
      <c r="M2246" s="20"/>
      <c r="N2246" s="20"/>
      <c r="O2246" s="20"/>
      <c r="P2246" s="20"/>
      <c r="Q2246" s="20"/>
      <c r="R2246" s="20"/>
      <c r="S2246" s="20"/>
      <c r="T2246" s="20"/>
      <c r="U2246" s="20"/>
      <c r="V2246" s="20"/>
      <c r="W2246" s="20"/>
      <c r="X2246" s="20"/>
      <c r="Y2246" s="20"/>
    </row>
    <row r="2247" spans="1:25" x14ac:dyDescent="0.3">
      <c r="A2247" s="20"/>
      <c r="B2247" s="20"/>
      <c r="C2247" s="20"/>
      <c r="D2247" s="20"/>
      <c r="E2247" s="20"/>
      <c r="F2247" s="20"/>
      <c r="G2247" s="20"/>
      <c r="H2247" s="20"/>
      <c r="I2247" s="20"/>
      <c r="J2247" s="20"/>
      <c r="K2247" s="20"/>
      <c r="L2247" s="20"/>
      <c r="M2247" s="20"/>
      <c r="N2247" s="20"/>
      <c r="O2247" s="20"/>
      <c r="P2247" s="20"/>
      <c r="Q2247" s="20"/>
      <c r="R2247" s="20"/>
      <c r="S2247" s="20"/>
      <c r="T2247" s="20"/>
      <c r="U2247" s="20"/>
      <c r="V2247" s="20"/>
      <c r="W2247" s="20"/>
      <c r="X2247" s="20"/>
      <c r="Y2247" s="20"/>
    </row>
    <row r="2248" spans="1:25" x14ac:dyDescent="0.3">
      <c r="A2248" s="20"/>
      <c r="B2248" s="20"/>
      <c r="C2248" s="20"/>
      <c r="D2248" s="20"/>
      <c r="E2248" s="20"/>
      <c r="F2248" s="20"/>
      <c r="G2248" s="20"/>
      <c r="H2248" s="20"/>
      <c r="I2248" s="20"/>
      <c r="J2248" s="20"/>
      <c r="K2248" s="20"/>
      <c r="L2248" s="20"/>
      <c r="M2248" s="20"/>
      <c r="N2248" s="20"/>
      <c r="O2248" s="20"/>
      <c r="P2248" s="20"/>
      <c r="Q2248" s="20"/>
      <c r="R2248" s="20"/>
      <c r="S2248" s="20"/>
      <c r="T2248" s="20"/>
      <c r="U2248" s="20"/>
      <c r="V2248" s="20"/>
      <c r="W2248" s="20"/>
      <c r="X2248" s="20"/>
      <c r="Y2248" s="20"/>
    </row>
    <row r="2249" spans="1:25" x14ac:dyDescent="0.3">
      <c r="A2249" s="20"/>
      <c r="B2249" s="20"/>
      <c r="C2249" s="20"/>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row>
    <row r="2250" spans="1:25" x14ac:dyDescent="0.3">
      <c r="A2250" s="20"/>
      <c r="B2250" s="20"/>
      <c r="C2250" s="20"/>
      <c r="D2250" s="20"/>
      <c r="E2250" s="20"/>
      <c r="F2250" s="20"/>
      <c r="G2250" s="20"/>
      <c r="H2250" s="20"/>
      <c r="I2250" s="20"/>
      <c r="J2250" s="20"/>
      <c r="K2250" s="20"/>
      <c r="L2250" s="20"/>
      <c r="M2250" s="20"/>
      <c r="N2250" s="20"/>
      <c r="O2250" s="20"/>
      <c r="P2250" s="20"/>
      <c r="Q2250" s="20"/>
      <c r="R2250" s="20"/>
      <c r="S2250" s="20"/>
      <c r="T2250" s="20"/>
      <c r="U2250" s="20"/>
      <c r="V2250" s="20"/>
      <c r="W2250" s="20"/>
      <c r="X2250" s="20"/>
      <c r="Y2250" s="20"/>
    </row>
    <row r="2251" spans="1:25" x14ac:dyDescent="0.3">
      <c r="A2251" s="20"/>
      <c r="B2251" s="20"/>
      <c r="C2251" s="20"/>
      <c r="D2251" s="20"/>
      <c r="E2251" s="20"/>
      <c r="F2251" s="20"/>
      <c r="G2251" s="20"/>
      <c r="H2251" s="20"/>
      <c r="I2251" s="20"/>
      <c r="J2251" s="20"/>
      <c r="K2251" s="20"/>
      <c r="L2251" s="20"/>
      <c r="M2251" s="20"/>
      <c r="N2251" s="20"/>
      <c r="O2251" s="20"/>
      <c r="P2251" s="20"/>
      <c r="Q2251" s="20"/>
      <c r="R2251" s="20"/>
      <c r="S2251" s="20"/>
      <c r="T2251" s="20"/>
      <c r="U2251" s="20"/>
      <c r="V2251" s="20"/>
      <c r="W2251" s="20"/>
      <c r="X2251" s="20"/>
      <c r="Y2251" s="20"/>
    </row>
    <row r="2252" spans="1:25" x14ac:dyDescent="0.3">
      <c r="A2252" s="20"/>
      <c r="B2252" s="20"/>
      <c r="C2252" s="20"/>
      <c r="D2252" s="20"/>
      <c r="E2252" s="20"/>
      <c r="F2252" s="20"/>
      <c r="G2252" s="20"/>
      <c r="H2252" s="20"/>
      <c r="I2252" s="20"/>
      <c r="J2252" s="20"/>
      <c r="K2252" s="20"/>
      <c r="L2252" s="20"/>
      <c r="M2252" s="20"/>
      <c r="N2252" s="20"/>
      <c r="O2252" s="20"/>
      <c r="P2252" s="20"/>
      <c r="Q2252" s="20"/>
      <c r="R2252" s="20"/>
      <c r="S2252" s="20"/>
      <c r="T2252" s="20"/>
      <c r="U2252" s="20"/>
      <c r="V2252" s="20"/>
      <c r="W2252" s="20"/>
      <c r="X2252" s="20"/>
      <c r="Y2252" s="20"/>
    </row>
    <row r="2253" spans="1:25" x14ac:dyDescent="0.3">
      <c r="A2253" s="20"/>
      <c r="B2253" s="20"/>
      <c r="C2253" s="20"/>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row>
    <row r="2254" spans="1:25" x14ac:dyDescent="0.3">
      <c r="A2254" s="20"/>
      <c r="B2254" s="20"/>
      <c r="C2254" s="20"/>
      <c r="D2254" s="20"/>
      <c r="E2254" s="20"/>
      <c r="F2254" s="20"/>
      <c r="G2254" s="20"/>
      <c r="H2254" s="20"/>
      <c r="I2254" s="20"/>
      <c r="J2254" s="20"/>
      <c r="K2254" s="20"/>
      <c r="L2254" s="20"/>
      <c r="M2254" s="20"/>
      <c r="N2254" s="20"/>
      <c r="O2254" s="20"/>
      <c r="P2254" s="20"/>
      <c r="Q2254" s="20"/>
      <c r="R2254" s="20"/>
      <c r="S2254" s="20"/>
      <c r="T2254" s="20"/>
      <c r="U2254" s="20"/>
      <c r="V2254" s="20"/>
      <c r="W2254" s="20"/>
      <c r="X2254" s="20"/>
      <c r="Y2254" s="20"/>
    </row>
    <row r="2255" spans="1:25" x14ac:dyDescent="0.3">
      <c r="A2255" s="20"/>
      <c r="B2255" s="20"/>
      <c r="C2255" s="20"/>
      <c r="D2255" s="20"/>
      <c r="E2255" s="20"/>
      <c r="F2255" s="20"/>
      <c r="G2255" s="20"/>
      <c r="H2255" s="20"/>
      <c r="I2255" s="20"/>
      <c r="J2255" s="20"/>
      <c r="K2255" s="20"/>
      <c r="L2255" s="20"/>
      <c r="M2255" s="20"/>
      <c r="N2255" s="20"/>
      <c r="O2255" s="20"/>
      <c r="P2255" s="20"/>
      <c r="Q2255" s="20"/>
      <c r="R2255" s="20"/>
      <c r="S2255" s="20"/>
      <c r="T2255" s="20"/>
      <c r="U2255" s="20"/>
      <c r="V2255" s="20"/>
      <c r="W2255" s="20"/>
      <c r="X2255" s="20"/>
      <c r="Y2255" s="20"/>
    </row>
    <row r="2256" spans="1:25" x14ac:dyDescent="0.3">
      <c r="A2256" s="20"/>
      <c r="B2256" s="20"/>
      <c r="C2256" s="20"/>
      <c r="D2256" s="20"/>
      <c r="E2256" s="20"/>
      <c r="F2256" s="20"/>
      <c r="G2256" s="20"/>
      <c r="H2256" s="20"/>
      <c r="I2256" s="20"/>
      <c r="J2256" s="20"/>
      <c r="K2256" s="20"/>
      <c r="L2256" s="20"/>
      <c r="M2256" s="20"/>
      <c r="N2256" s="20"/>
      <c r="O2256" s="20"/>
      <c r="P2256" s="20"/>
      <c r="Q2256" s="20"/>
      <c r="R2256" s="20"/>
      <c r="S2256" s="20"/>
      <c r="T2256" s="20"/>
      <c r="U2256" s="20"/>
      <c r="V2256" s="20"/>
      <c r="W2256" s="20"/>
      <c r="X2256" s="20"/>
      <c r="Y2256" s="20"/>
    </row>
    <row r="2257" spans="1:25" x14ac:dyDescent="0.3">
      <c r="A2257" s="20"/>
      <c r="B2257" s="20"/>
      <c r="C2257" s="20"/>
      <c r="D2257" s="20"/>
      <c r="E2257" s="20"/>
      <c r="F2257" s="20"/>
      <c r="G2257" s="20"/>
      <c r="H2257" s="20"/>
      <c r="I2257" s="20"/>
      <c r="J2257" s="20"/>
      <c r="K2257" s="20"/>
      <c r="L2257" s="20"/>
      <c r="M2257" s="20"/>
      <c r="N2257" s="20"/>
      <c r="O2257" s="20"/>
      <c r="P2257" s="20"/>
      <c r="Q2257" s="20"/>
      <c r="R2257" s="20"/>
      <c r="S2257" s="20"/>
      <c r="T2257" s="20"/>
      <c r="U2257" s="20"/>
      <c r="V2257" s="20"/>
      <c r="W2257" s="20"/>
      <c r="X2257" s="20"/>
      <c r="Y2257" s="20"/>
    </row>
    <row r="2258" spans="1:25" x14ac:dyDescent="0.3">
      <c r="A2258" s="20"/>
      <c r="B2258" s="20"/>
      <c r="C2258" s="20"/>
      <c r="D2258" s="20"/>
      <c r="E2258" s="20"/>
      <c r="F2258" s="20"/>
      <c r="G2258" s="20"/>
      <c r="H2258" s="20"/>
      <c r="I2258" s="20"/>
      <c r="J2258" s="20"/>
      <c r="K2258" s="20"/>
      <c r="L2258" s="20"/>
      <c r="M2258" s="20"/>
      <c r="N2258" s="20"/>
      <c r="O2258" s="20"/>
      <c r="P2258" s="20"/>
      <c r="Q2258" s="20"/>
      <c r="R2258" s="20"/>
      <c r="S2258" s="20"/>
      <c r="T2258" s="20"/>
      <c r="U2258" s="20"/>
      <c r="V2258" s="20"/>
      <c r="W2258" s="20"/>
      <c r="X2258" s="20"/>
      <c r="Y2258" s="20"/>
    </row>
    <row r="2259" spans="1:25" x14ac:dyDescent="0.3">
      <c r="A2259" s="20"/>
      <c r="B2259" s="20"/>
      <c r="C2259" s="20"/>
      <c r="D2259" s="20"/>
      <c r="E2259" s="20"/>
      <c r="F2259" s="20"/>
      <c r="G2259" s="20"/>
      <c r="H2259" s="20"/>
      <c r="I2259" s="20"/>
      <c r="J2259" s="20"/>
      <c r="K2259" s="20"/>
      <c r="L2259" s="20"/>
      <c r="M2259" s="20"/>
      <c r="N2259" s="20"/>
      <c r="O2259" s="20"/>
      <c r="P2259" s="20"/>
      <c r="Q2259" s="20"/>
      <c r="R2259" s="20"/>
      <c r="S2259" s="20"/>
      <c r="T2259" s="20"/>
      <c r="U2259" s="20"/>
      <c r="V2259" s="20"/>
      <c r="W2259" s="20"/>
      <c r="X2259" s="20"/>
      <c r="Y2259" s="20"/>
    </row>
    <row r="2260" spans="1:25" x14ac:dyDescent="0.3">
      <c r="A2260" s="20"/>
      <c r="B2260" s="20"/>
      <c r="C2260" s="20"/>
      <c r="D2260" s="20"/>
      <c r="E2260" s="20"/>
      <c r="F2260" s="20"/>
      <c r="G2260" s="20"/>
      <c r="H2260" s="20"/>
      <c r="I2260" s="20"/>
      <c r="J2260" s="20"/>
      <c r="K2260" s="20"/>
      <c r="L2260" s="20"/>
      <c r="M2260" s="20"/>
      <c r="N2260" s="20"/>
      <c r="O2260" s="20"/>
      <c r="P2260" s="20"/>
      <c r="Q2260" s="20"/>
      <c r="R2260" s="20"/>
      <c r="S2260" s="20"/>
      <c r="T2260" s="20"/>
      <c r="U2260" s="20"/>
      <c r="V2260" s="20"/>
      <c r="W2260" s="20"/>
      <c r="X2260" s="20"/>
      <c r="Y2260" s="20"/>
    </row>
    <row r="2261" spans="1:25" x14ac:dyDescent="0.3">
      <c r="A2261" s="20"/>
      <c r="B2261" s="20"/>
      <c r="C2261" s="20"/>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row>
    <row r="2262" spans="1:25" x14ac:dyDescent="0.3">
      <c r="A2262" s="20"/>
      <c r="B2262" s="20"/>
      <c r="C2262" s="20"/>
      <c r="D2262" s="20"/>
      <c r="E2262" s="20"/>
      <c r="F2262" s="20"/>
      <c r="G2262" s="20"/>
      <c r="H2262" s="20"/>
      <c r="I2262" s="20"/>
      <c r="J2262" s="20"/>
      <c r="K2262" s="20"/>
      <c r="L2262" s="20"/>
      <c r="M2262" s="20"/>
      <c r="N2262" s="20"/>
      <c r="O2262" s="20"/>
      <c r="P2262" s="20"/>
      <c r="Q2262" s="20"/>
      <c r="R2262" s="20"/>
      <c r="S2262" s="20"/>
      <c r="T2262" s="20"/>
      <c r="U2262" s="20"/>
      <c r="V2262" s="20"/>
      <c r="W2262" s="20"/>
      <c r="X2262" s="20"/>
      <c r="Y2262" s="20"/>
    </row>
    <row r="2263" spans="1:25" x14ac:dyDescent="0.3">
      <c r="A2263" s="20"/>
      <c r="B2263" s="20"/>
      <c r="C2263" s="20"/>
      <c r="D2263" s="20"/>
      <c r="E2263" s="20"/>
      <c r="F2263" s="20"/>
      <c r="G2263" s="20"/>
      <c r="H2263" s="20"/>
      <c r="I2263" s="20"/>
      <c r="J2263" s="20"/>
      <c r="K2263" s="20"/>
      <c r="L2263" s="20"/>
      <c r="M2263" s="20"/>
      <c r="N2263" s="20"/>
      <c r="O2263" s="20"/>
      <c r="P2263" s="20"/>
      <c r="Q2263" s="20"/>
      <c r="R2263" s="20"/>
      <c r="S2263" s="20"/>
      <c r="T2263" s="20"/>
      <c r="U2263" s="20"/>
      <c r="V2263" s="20"/>
      <c r="W2263" s="20"/>
      <c r="X2263" s="20"/>
      <c r="Y2263" s="20"/>
    </row>
    <row r="2264" spans="1:25" x14ac:dyDescent="0.3">
      <c r="A2264" s="20"/>
      <c r="B2264" s="20"/>
      <c r="C2264" s="20"/>
      <c r="D2264" s="20"/>
      <c r="E2264" s="20"/>
      <c r="F2264" s="20"/>
      <c r="G2264" s="20"/>
      <c r="H2264" s="20"/>
      <c r="I2264" s="20"/>
      <c r="J2264" s="20"/>
      <c r="K2264" s="20"/>
      <c r="L2264" s="20"/>
      <c r="M2264" s="20"/>
      <c r="N2264" s="20"/>
      <c r="O2264" s="20"/>
      <c r="P2264" s="20"/>
      <c r="Q2264" s="20"/>
      <c r="R2264" s="20"/>
      <c r="S2264" s="20"/>
      <c r="T2264" s="20"/>
      <c r="U2264" s="20"/>
      <c r="V2264" s="20"/>
      <c r="W2264" s="20"/>
      <c r="X2264" s="20"/>
      <c r="Y2264" s="20"/>
    </row>
    <row r="2265" spans="1:25" x14ac:dyDescent="0.3">
      <c r="A2265" s="20"/>
      <c r="B2265" s="20"/>
      <c r="C2265" s="20"/>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row>
    <row r="2266" spans="1:25" x14ac:dyDescent="0.3">
      <c r="A2266" s="20"/>
      <c r="B2266" s="20"/>
      <c r="C2266" s="20"/>
      <c r="D2266" s="20"/>
      <c r="E2266" s="20"/>
      <c r="F2266" s="20"/>
      <c r="G2266" s="20"/>
      <c r="H2266" s="20"/>
      <c r="I2266" s="20"/>
      <c r="J2266" s="20"/>
      <c r="K2266" s="20"/>
      <c r="L2266" s="20"/>
      <c r="M2266" s="20"/>
      <c r="N2266" s="20"/>
      <c r="O2266" s="20"/>
      <c r="P2266" s="20"/>
      <c r="Q2266" s="20"/>
      <c r="R2266" s="20"/>
      <c r="S2266" s="20"/>
      <c r="T2266" s="20"/>
      <c r="U2266" s="20"/>
      <c r="V2266" s="20"/>
      <c r="W2266" s="20"/>
      <c r="X2266" s="20"/>
      <c r="Y2266" s="20"/>
    </row>
    <row r="2267" spans="1:25" x14ac:dyDescent="0.3">
      <c r="A2267" s="20"/>
      <c r="B2267" s="20"/>
      <c r="C2267" s="20"/>
      <c r="D2267" s="20"/>
      <c r="E2267" s="20"/>
      <c r="F2267" s="20"/>
      <c r="G2267" s="20"/>
      <c r="H2267" s="20"/>
      <c r="I2267" s="20"/>
      <c r="J2267" s="20"/>
      <c r="K2267" s="20"/>
      <c r="L2267" s="20"/>
      <c r="M2267" s="20"/>
      <c r="N2267" s="20"/>
      <c r="O2267" s="20"/>
      <c r="P2267" s="20"/>
      <c r="Q2267" s="20"/>
      <c r="R2267" s="20"/>
      <c r="S2267" s="20"/>
      <c r="T2267" s="20"/>
      <c r="U2267" s="20"/>
      <c r="V2267" s="20"/>
      <c r="W2267" s="20"/>
      <c r="X2267" s="20"/>
      <c r="Y2267" s="20"/>
    </row>
    <row r="2268" spans="1:25" x14ac:dyDescent="0.3">
      <c r="A2268" s="20"/>
      <c r="B2268" s="20"/>
      <c r="C2268" s="20"/>
      <c r="D2268" s="20"/>
      <c r="E2268" s="20"/>
      <c r="F2268" s="20"/>
      <c r="G2268" s="20"/>
      <c r="H2268" s="20"/>
      <c r="I2268" s="20"/>
      <c r="J2268" s="20"/>
      <c r="K2268" s="20"/>
      <c r="L2268" s="20"/>
      <c r="M2268" s="20"/>
      <c r="N2268" s="20"/>
      <c r="O2268" s="20"/>
      <c r="P2268" s="20"/>
      <c r="Q2268" s="20"/>
      <c r="R2268" s="20"/>
      <c r="S2268" s="20"/>
      <c r="T2268" s="20"/>
      <c r="U2268" s="20"/>
      <c r="V2268" s="20"/>
      <c r="W2268" s="20"/>
      <c r="X2268" s="20"/>
      <c r="Y2268" s="20"/>
    </row>
    <row r="2269" spans="1:25" x14ac:dyDescent="0.3">
      <c r="A2269" s="20"/>
      <c r="B2269" s="20"/>
      <c r="C2269" s="20"/>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row>
    <row r="2270" spans="1:25" x14ac:dyDescent="0.3">
      <c r="A2270" s="20"/>
      <c r="B2270" s="20"/>
      <c r="C2270" s="20"/>
      <c r="D2270" s="20"/>
      <c r="E2270" s="20"/>
      <c r="F2270" s="20"/>
      <c r="G2270" s="20"/>
      <c r="H2270" s="20"/>
      <c r="I2270" s="20"/>
      <c r="J2270" s="20"/>
      <c r="K2270" s="20"/>
      <c r="L2270" s="20"/>
      <c r="M2270" s="20"/>
      <c r="N2270" s="20"/>
      <c r="O2270" s="20"/>
      <c r="P2270" s="20"/>
      <c r="Q2270" s="20"/>
      <c r="R2270" s="20"/>
      <c r="S2270" s="20"/>
      <c r="T2270" s="20"/>
      <c r="U2270" s="20"/>
      <c r="V2270" s="20"/>
      <c r="W2270" s="20"/>
      <c r="X2270" s="20"/>
      <c r="Y2270" s="20"/>
    </row>
    <row r="2271" spans="1:25" x14ac:dyDescent="0.3">
      <c r="A2271" s="20"/>
      <c r="B2271" s="20"/>
      <c r="C2271" s="20"/>
      <c r="D2271" s="20"/>
      <c r="E2271" s="20"/>
      <c r="F2271" s="20"/>
      <c r="G2271" s="20"/>
      <c r="H2271" s="20"/>
      <c r="I2271" s="20"/>
      <c r="J2271" s="20"/>
      <c r="K2271" s="20"/>
      <c r="L2271" s="20"/>
      <c r="M2271" s="20"/>
      <c r="N2271" s="20"/>
      <c r="O2271" s="20"/>
      <c r="P2271" s="20"/>
      <c r="Q2271" s="20"/>
      <c r="R2271" s="20"/>
      <c r="S2271" s="20"/>
      <c r="T2271" s="20"/>
      <c r="U2271" s="20"/>
      <c r="V2271" s="20"/>
      <c r="W2271" s="20"/>
      <c r="X2271" s="20"/>
      <c r="Y2271" s="20"/>
    </row>
    <row r="2272" spans="1:25" x14ac:dyDescent="0.3">
      <c r="A2272" s="20"/>
      <c r="B2272" s="20"/>
      <c r="C2272" s="20"/>
      <c r="D2272" s="20"/>
      <c r="E2272" s="20"/>
      <c r="F2272" s="20"/>
      <c r="G2272" s="20"/>
      <c r="H2272" s="20"/>
      <c r="I2272" s="20"/>
      <c r="J2272" s="20"/>
      <c r="K2272" s="20"/>
      <c r="L2272" s="20"/>
      <c r="M2272" s="20"/>
      <c r="N2272" s="20"/>
      <c r="O2272" s="20"/>
      <c r="P2272" s="20"/>
      <c r="Q2272" s="20"/>
      <c r="R2272" s="20"/>
      <c r="S2272" s="20"/>
      <c r="T2272" s="20"/>
      <c r="U2272" s="20"/>
      <c r="V2272" s="20"/>
      <c r="W2272" s="20"/>
      <c r="X2272" s="20"/>
      <c r="Y2272" s="20"/>
    </row>
    <row r="2273" spans="1:25" x14ac:dyDescent="0.3">
      <c r="A2273" s="20"/>
      <c r="B2273" s="20"/>
      <c r="C2273" s="20"/>
      <c r="D2273" s="20"/>
      <c r="E2273" s="20"/>
      <c r="F2273" s="20"/>
      <c r="G2273" s="20"/>
      <c r="H2273" s="20"/>
      <c r="I2273" s="20"/>
      <c r="J2273" s="20"/>
      <c r="K2273" s="20"/>
      <c r="L2273" s="20"/>
      <c r="M2273" s="20"/>
      <c r="N2273" s="20"/>
      <c r="O2273" s="20"/>
      <c r="P2273" s="20"/>
      <c r="Q2273" s="20"/>
      <c r="R2273" s="20"/>
      <c r="S2273" s="20"/>
      <c r="T2273" s="20"/>
      <c r="U2273" s="20"/>
      <c r="V2273" s="20"/>
      <c r="W2273" s="20"/>
      <c r="X2273" s="20"/>
      <c r="Y2273" s="20"/>
    </row>
    <row r="2274" spans="1:25" x14ac:dyDescent="0.3">
      <c r="A2274" s="20"/>
      <c r="B2274" s="20"/>
      <c r="C2274" s="20"/>
      <c r="D2274" s="20"/>
      <c r="E2274" s="20"/>
      <c r="F2274" s="20"/>
      <c r="G2274" s="20"/>
      <c r="H2274" s="20"/>
      <c r="I2274" s="20"/>
      <c r="J2274" s="20"/>
      <c r="K2274" s="20"/>
      <c r="L2274" s="20"/>
      <c r="M2274" s="20"/>
      <c r="N2274" s="20"/>
      <c r="O2274" s="20"/>
      <c r="P2274" s="20"/>
      <c r="Q2274" s="20"/>
      <c r="R2274" s="20"/>
      <c r="S2274" s="20"/>
      <c r="T2274" s="20"/>
      <c r="U2274" s="20"/>
      <c r="V2274" s="20"/>
      <c r="W2274" s="20"/>
      <c r="X2274" s="20"/>
      <c r="Y2274" s="20"/>
    </row>
    <row r="2275" spans="1:25" x14ac:dyDescent="0.3">
      <c r="A2275" s="20"/>
      <c r="B2275" s="20"/>
      <c r="C2275" s="20"/>
      <c r="D2275" s="20"/>
      <c r="E2275" s="20"/>
      <c r="F2275" s="20"/>
      <c r="G2275" s="20"/>
      <c r="H2275" s="20"/>
      <c r="I2275" s="20"/>
      <c r="J2275" s="20"/>
      <c r="K2275" s="20"/>
      <c r="L2275" s="20"/>
      <c r="M2275" s="20"/>
      <c r="N2275" s="20"/>
      <c r="O2275" s="20"/>
      <c r="P2275" s="20"/>
      <c r="Q2275" s="20"/>
      <c r="R2275" s="20"/>
      <c r="S2275" s="20"/>
      <c r="T2275" s="20"/>
      <c r="U2275" s="20"/>
      <c r="V2275" s="20"/>
      <c r="W2275" s="20"/>
      <c r="X2275" s="20"/>
      <c r="Y2275" s="20"/>
    </row>
    <row r="2276" spans="1:25" x14ac:dyDescent="0.3">
      <c r="A2276" s="20"/>
      <c r="B2276" s="20"/>
      <c r="C2276" s="20"/>
      <c r="D2276" s="20"/>
      <c r="E2276" s="20"/>
      <c r="F2276" s="20"/>
      <c r="G2276" s="20"/>
      <c r="H2276" s="20"/>
      <c r="I2276" s="20"/>
      <c r="J2276" s="20"/>
      <c r="K2276" s="20"/>
      <c r="L2276" s="20"/>
      <c r="M2276" s="20"/>
      <c r="N2276" s="20"/>
      <c r="O2276" s="20"/>
      <c r="P2276" s="20"/>
      <c r="Q2276" s="20"/>
      <c r="R2276" s="20"/>
      <c r="S2276" s="20"/>
      <c r="T2276" s="20"/>
      <c r="U2276" s="20"/>
      <c r="V2276" s="20"/>
      <c r="W2276" s="20"/>
      <c r="X2276" s="20"/>
      <c r="Y2276" s="20"/>
    </row>
    <row r="2277" spans="1:25" x14ac:dyDescent="0.3">
      <c r="A2277" s="20"/>
      <c r="B2277" s="20"/>
      <c r="C2277" s="20"/>
      <c r="D2277" s="20"/>
      <c r="E2277" s="20"/>
      <c r="F2277" s="20"/>
      <c r="G2277" s="20"/>
      <c r="H2277" s="20"/>
      <c r="I2277" s="20"/>
      <c r="J2277" s="20"/>
      <c r="K2277" s="20"/>
      <c r="L2277" s="20"/>
      <c r="M2277" s="20"/>
      <c r="N2277" s="20"/>
      <c r="O2277" s="20"/>
      <c r="P2277" s="20"/>
      <c r="Q2277" s="20"/>
      <c r="R2277" s="20"/>
      <c r="S2277" s="20"/>
      <c r="T2277" s="20"/>
      <c r="U2277" s="20"/>
      <c r="V2277" s="20"/>
      <c r="W2277" s="20"/>
      <c r="X2277" s="20"/>
      <c r="Y2277" s="20"/>
    </row>
    <row r="2278" spans="1:25" x14ac:dyDescent="0.3">
      <c r="A2278" s="20"/>
      <c r="B2278" s="20"/>
      <c r="C2278" s="20"/>
      <c r="D2278" s="20"/>
      <c r="E2278" s="20"/>
      <c r="F2278" s="20"/>
      <c r="G2278" s="20"/>
      <c r="H2278" s="20"/>
      <c r="I2278" s="20"/>
      <c r="J2278" s="20"/>
      <c r="K2278" s="20"/>
      <c r="L2278" s="20"/>
      <c r="M2278" s="20"/>
      <c r="N2278" s="20"/>
      <c r="O2278" s="20"/>
      <c r="P2278" s="20"/>
      <c r="Q2278" s="20"/>
      <c r="R2278" s="20"/>
      <c r="S2278" s="20"/>
      <c r="T2278" s="20"/>
      <c r="U2278" s="20"/>
      <c r="V2278" s="20"/>
      <c r="W2278" s="20"/>
      <c r="X2278" s="20"/>
      <c r="Y2278" s="20"/>
    </row>
    <row r="2279" spans="1:25" x14ac:dyDescent="0.3">
      <c r="A2279" s="20"/>
      <c r="B2279" s="20"/>
      <c r="C2279" s="20"/>
      <c r="D2279" s="20"/>
      <c r="E2279" s="20"/>
      <c r="F2279" s="20"/>
      <c r="G2279" s="20"/>
      <c r="H2279" s="20"/>
      <c r="I2279" s="20"/>
      <c r="J2279" s="20"/>
      <c r="K2279" s="20"/>
      <c r="L2279" s="20"/>
      <c r="M2279" s="20"/>
      <c r="N2279" s="20"/>
      <c r="O2279" s="20"/>
      <c r="P2279" s="20"/>
      <c r="Q2279" s="20"/>
      <c r="R2279" s="20"/>
      <c r="S2279" s="20"/>
      <c r="T2279" s="20"/>
      <c r="U2279" s="20"/>
      <c r="V2279" s="20"/>
      <c r="W2279" s="20"/>
      <c r="X2279" s="20"/>
      <c r="Y2279" s="20"/>
    </row>
    <row r="2280" spans="1:25" x14ac:dyDescent="0.3">
      <c r="A2280" s="20"/>
      <c r="B2280" s="20"/>
      <c r="C2280" s="20"/>
      <c r="D2280" s="20"/>
      <c r="E2280" s="20"/>
      <c r="F2280" s="20"/>
      <c r="G2280" s="20"/>
      <c r="H2280" s="20"/>
      <c r="I2280" s="20"/>
      <c r="J2280" s="20"/>
      <c r="K2280" s="20"/>
      <c r="L2280" s="20"/>
      <c r="M2280" s="20"/>
      <c r="N2280" s="20"/>
      <c r="O2280" s="20"/>
      <c r="P2280" s="20"/>
      <c r="Q2280" s="20"/>
      <c r="R2280" s="20"/>
      <c r="S2280" s="20"/>
      <c r="T2280" s="20"/>
      <c r="U2280" s="20"/>
      <c r="V2280" s="20"/>
      <c r="W2280" s="20"/>
      <c r="X2280" s="20"/>
      <c r="Y2280" s="20"/>
    </row>
    <row r="2281" spans="1:25" x14ac:dyDescent="0.3">
      <c r="A2281" s="20"/>
      <c r="B2281" s="20"/>
      <c r="C2281" s="20"/>
      <c r="D2281" s="20"/>
      <c r="E2281" s="20"/>
      <c r="F2281" s="20"/>
      <c r="G2281" s="20"/>
      <c r="H2281" s="20"/>
      <c r="I2281" s="20"/>
      <c r="J2281" s="20"/>
      <c r="K2281" s="20"/>
      <c r="L2281" s="20"/>
      <c r="M2281" s="20"/>
      <c r="N2281" s="20"/>
      <c r="O2281" s="20"/>
      <c r="P2281" s="20"/>
      <c r="Q2281" s="20"/>
      <c r="R2281" s="20"/>
      <c r="S2281" s="20"/>
      <c r="T2281" s="20"/>
      <c r="U2281" s="20"/>
      <c r="V2281" s="20"/>
      <c r="W2281" s="20"/>
      <c r="X2281" s="20"/>
      <c r="Y2281" s="20"/>
    </row>
    <row r="2282" spans="1:25" x14ac:dyDescent="0.3">
      <c r="A2282" s="20"/>
      <c r="B2282" s="20"/>
      <c r="C2282" s="20"/>
      <c r="D2282" s="20"/>
      <c r="E2282" s="20"/>
      <c r="F2282" s="20"/>
      <c r="G2282" s="20"/>
      <c r="H2282" s="20"/>
      <c r="I2282" s="20"/>
      <c r="J2282" s="20"/>
      <c r="K2282" s="20"/>
      <c r="L2282" s="20"/>
      <c r="M2282" s="20"/>
      <c r="N2282" s="20"/>
      <c r="O2282" s="20"/>
      <c r="P2282" s="20"/>
      <c r="Q2282" s="20"/>
      <c r="R2282" s="20"/>
      <c r="S2282" s="20"/>
      <c r="T2282" s="20"/>
      <c r="U2282" s="20"/>
      <c r="V2282" s="20"/>
      <c r="W2282" s="20"/>
      <c r="X2282" s="20"/>
      <c r="Y2282" s="20"/>
    </row>
    <row r="2283" spans="1:25" x14ac:dyDescent="0.3">
      <c r="A2283" s="20"/>
      <c r="B2283" s="20"/>
      <c r="C2283" s="20"/>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row>
    <row r="2284" spans="1:25" x14ac:dyDescent="0.3">
      <c r="A2284" s="20"/>
      <c r="B2284" s="20"/>
      <c r="C2284" s="20"/>
      <c r="D2284" s="20"/>
      <c r="E2284" s="20"/>
      <c r="F2284" s="20"/>
      <c r="G2284" s="20"/>
      <c r="H2284" s="20"/>
      <c r="I2284" s="20"/>
      <c r="J2284" s="20"/>
      <c r="K2284" s="20"/>
      <c r="L2284" s="20"/>
      <c r="M2284" s="20"/>
      <c r="N2284" s="20"/>
      <c r="O2284" s="20"/>
      <c r="P2284" s="20"/>
      <c r="Q2284" s="20"/>
      <c r="R2284" s="20"/>
      <c r="S2284" s="20"/>
      <c r="T2284" s="20"/>
      <c r="U2284" s="20"/>
      <c r="V2284" s="20"/>
      <c r="W2284" s="20"/>
      <c r="X2284" s="20"/>
      <c r="Y2284" s="20"/>
    </row>
    <row r="2285" spans="1:25" x14ac:dyDescent="0.3">
      <c r="A2285" s="20"/>
      <c r="B2285" s="20"/>
      <c r="C2285" s="20"/>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row>
    <row r="2286" spans="1:25" x14ac:dyDescent="0.3">
      <c r="A2286" s="20"/>
      <c r="B2286" s="20"/>
      <c r="C2286" s="20"/>
      <c r="D2286" s="20"/>
      <c r="E2286" s="20"/>
      <c r="F2286" s="20"/>
      <c r="G2286" s="20"/>
      <c r="H2286" s="20"/>
      <c r="I2286" s="20"/>
      <c r="J2286" s="20"/>
      <c r="K2286" s="20"/>
      <c r="L2286" s="20"/>
      <c r="M2286" s="20"/>
      <c r="N2286" s="20"/>
      <c r="O2286" s="20"/>
      <c r="P2286" s="20"/>
      <c r="Q2286" s="20"/>
      <c r="R2286" s="20"/>
      <c r="S2286" s="20"/>
      <c r="T2286" s="20"/>
      <c r="U2286" s="20"/>
      <c r="V2286" s="20"/>
      <c r="W2286" s="20"/>
      <c r="X2286" s="20"/>
      <c r="Y2286" s="20"/>
    </row>
    <row r="2287" spans="1:25" x14ac:dyDescent="0.3">
      <c r="A2287" s="20"/>
      <c r="B2287" s="20"/>
      <c r="C2287" s="20"/>
      <c r="D2287" s="20"/>
      <c r="E2287" s="20"/>
      <c r="F2287" s="20"/>
      <c r="G2287" s="20"/>
      <c r="H2287" s="20"/>
      <c r="I2287" s="20"/>
      <c r="J2287" s="20"/>
      <c r="K2287" s="20"/>
      <c r="L2287" s="20"/>
      <c r="M2287" s="20"/>
      <c r="N2287" s="20"/>
      <c r="O2287" s="20"/>
      <c r="P2287" s="20"/>
      <c r="Q2287" s="20"/>
      <c r="R2287" s="20"/>
      <c r="S2287" s="20"/>
      <c r="T2287" s="20"/>
      <c r="U2287" s="20"/>
      <c r="V2287" s="20"/>
      <c r="W2287" s="20"/>
      <c r="X2287" s="20"/>
      <c r="Y2287" s="20"/>
    </row>
    <row r="2288" spans="1:25" x14ac:dyDescent="0.3">
      <c r="A2288" s="20"/>
      <c r="B2288" s="20"/>
      <c r="C2288" s="20"/>
      <c r="D2288" s="20"/>
      <c r="E2288" s="20"/>
      <c r="F2288" s="20"/>
      <c r="G2288" s="20"/>
      <c r="H2288" s="20"/>
      <c r="I2288" s="20"/>
      <c r="J2288" s="20"/>
      <c r="K2288" s="20"/>
      <c r="L2288" s="20"/>
      <c r="M2288" s="20"/>
      <c r="N2288" s="20"/>
      <c r="O2288" s="20"/>
      <c r="P2288" s="20"/>
      <c r="Q2288" s="20"/>
      <c r="R2288" s="20"/>
      <c r="S2288" s="20"/>
      <c r="T2288" s="20"/>
      <c r="U2288" s="20"/>
      <c r="V2288" s="20"/>
      <c r="W2288" s="20"/>
      <c r="X2288" s="20"/>
      <c r="Y2288" s="20"/>
    </row>
    <row r="2289" spans="1:25" x14ac:dyDescent="0.3">
      <c r="A2289" s="20"/>
      <c r="B2289" s="20"/>
      <c r="C2289" s="20"/>
      <c r="D2289" s="20"/>
      <c r="E2289" s="20"/>
      <c r="F2289" s="20"/>
      <c r="G2289" s="20"/>
      <c r="H2289" s="20"/>
      <c r="I2289" s="20"/>
      <c r="J2289" s="20"/>
      <c r="K2289" s="20"/>
      <c r="L2289" s="20"/>
      <c r="M2289" s="20"/>
      <c r="N2289" s="20"/>
      <c r="O2289" s="20"/>
      <c r="P2289" s="20"/>
      <c r="Q2289" s="20"/>
      <c r="R2289" s="20"/>
      <c r="S2289" s="20"/>
      <c r="T2289" s="20"/>
      <c r="U2289" s="20"/>
      <c r="V2289" s="20"/>
      <c r="W2289" s="20"/>
      <c r="X2289" s="20"/>
      <c r="Y2289" s="20"/>
    </row>
    <row r="2290" spans="1:25" x14ac:dyDescent="0.3">
      <c r="A2290" s="20"/>
      <c r="B2290" s="20"/>
      <c r="C2290" s="20"/>
      <c r="D2290" s="20"/>
      <c r="E2290" s="20"/>
      <c r="F2290" s="20"/>
      <c r="G2290" s="20"/>
      <c r="H2290" s="20"/>
      <c r="I2290" s="20"/>
      <c r="J2290" s="20"/>
      <c r="K2290" s="20"/>
      <c r="L2290" s="20"/>
      <c r="M2290" s="20"/>
      <c r="N2290" s="20"/>
      <c r="O2290" s="20"/>
      <c r="P2290" s="20"/>
      <c r="Q2290" s="20"/>
      <c r="R2290" s="20"/>
      <c r="S2290" s="20"/>
      <c r="T2290" s="20"/>
      <c r="U2290" s="20"/>
      <c r="V2290" s="20"/>
      <c r="W2290" s="20"/>
      <c r="X2290" s="20"/>
      <c r="Y2290" s="20"/>
    </row>
    <row r="2291" spans="1:25" x14ac:dyDescent="0.3">
      <c r="A2291" s="20"/>
      <c r="B2291" s="20"/>
      <c r="C2291" s="20"/>
      <c r="D2291" s="20"/>
      <c r="E2291" s="20"/>
      <c r="F2291" s="20"/>
      <c r="G2291" s="20"/>
      <c r="H2291" s="20"/>
      <c r="I2291" s="20"/>
      <c r="J2291" s="20"/>
      <c r="K2291" s="20"/>
      <c r="L2291" s="20"/>
      <c r="M2291" s="20"/>
      <c r="N2291" s="20"/>
      <c r="O2291" s="20"/>
      <c r="P2291" s="20"/>
      <c r="Q2291" s="20"/>
      <c r="R2291" s="20"/>
      <c r="S2291" s="20"/>
      <c r="T2291" s="20"/>
      <c r="U2291" s="20"/>
      <c r="V2291" s="20"/>
      <c r="W2291" s="20"/>
      <c r="X2291" s="20"/>
      <c r="Y2291" s="20"/>
    </row>
    <row r="2292" spans="1:25" x14ac:dyDescent="0.3">
      <c r="A2292" s="20"/>
      <c r="B2292" s="20"/>
      <c r="C2292" s="20"/>
      <c r="D2292" s="20"/>
      <c r="E2292" s="20"/>
      <c r="F2292" s="20"/>
      <c r="G2292" s="20"/>
      <c r="H2292" s="20"/>
      <c r="I2292" s="20"/>
      <c r="J2292" s="20"/>
      <c r="K2292" s="20"/>
      <c r="L2292" s="20"/>
      <c r="M2292" s="20"/>
      <c r="N2292" s="20"/>
      <c r="O2292" s="20"/>
      <c r="P2292" s="20"/>
      <c r="Q2292" s="20"/>
      <c r="R2292" s="20"/>
      <c r="S2292" s="20"/>
      <c r="T2292" s="20"/>
      <c r="U2292" s="20"/>
      <c r="V2292" s="20"/>
      <c r="W2292" s="20"/>
      <c r="X2292" s="20"/>
      <c r="Y2292" s="20"/>
    </row>
    <row r="2293" spans="1:25" x14ac:dyDescent="0.3">
      <c r="A2293" s="20"/>
      <c r="B2293" s="20"/>
      <c r="C2293" s="20"/>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row>
    <row r="2294" spans="1:25" x14ac:dyDescent="0.3">
      <c r="A2294" s="20"/>
      <c r="B2294" s="20"/>
      <c r="C2294" s="20"/>
      <c r="D2294" s="20"/>
      <c r="E2294" s="20"/>
      <c r="F2294" s="20"/>
      <c r="G2294" s="20"/>
      <c r="H2294" s="20"/>
      <c r="I2294" s="20"/>
      <c r="J2294" s="20"/>
      <c r="K2294" s="20"/>
      <c r="L2294" s="20"/>
      <c r="M2294" s="20"/>
      <c r="N2294" s="20"/>
      <c r="O2294" s="20"/>
      <c r="P2294" s="20"/>
      <c r="Q2294" s="20"/>
      <c r="R2294" s="20"/>
      <c r="S2294" s="20"/>
      <c r="T2294" s="20"/>
      <c r="U2294" s="20"/>
      <c r="V2294" s="20"/>
      <c r="W2294" s="20"/>
      <c r="X2294" s="20"/>
      <c r="Y2294" s="20"/>
    </row>
    <row r="2295" spans="1:25" x14ac:dyDescent="0.3">
      <c r="A2295" s="20"/>
      <c r="B2295" s="20"/>
      <c r="C2295" s="20"/>
      <c r="D2295" s="20"/>
      <c r="E2295" s="20"/>
      <c r="F2295" s="20"/>
      <c r="G2295" s="20"/>
      <c r="H2295" s="20"/>
      <c r="I2295" s="20"/>
      <c r="J2295" s="20"/>
      <c r="K2295" s="20"/>
      <c r="L2295" s="20"/>
      <c r="M2295" s="20"/>
      <c r="N2295" s="20"/>
      <c r="O2295" s="20"/>
      <c r="P2295" s="20"/>
      <c r="Q2295" s="20"/>
      <c r="R2295" s="20"/>
      <c r="S2295" s="20"/>
      <c r="T2295" s="20"/>
      <c r="U2295" s="20"/>
      <c r="V2295" s="20"/>
      <c r="W2295" s="20"/>
      <c r="X2295" s="20"/>
      <c r="Y2295" s="20"/>
    </row>
    <row r="2296" spans="1:25" x14ac:dyDescent="0.3">
      <c r="A2296" s="20"/>
      <c r="B2296" s="20"/>
      <c r="C2296" s="20"/>
      <c r="D2296" s="20"/>
      <c r="E2296" s="20"/>
      <c r="F2296" s="20"/>
      <c r="G2296" s="20"/>
      <c r="H2296" s="20"/>
      <c r="I2296" s="20"/>
      <c r="J2296" s="20"/>
      <c r="K2296" s="20"/>
      <c r="L2296" s="20"/>
      <c r="M2296" s="20"/>
      <c r="N2296" s="20"/>
      <c r="O2296" s="20"/>
      <c r="P2296" s="20"/>
      <c r="Q2296" s="20"/>
      <c r="R2296" s="20"/>
      <c r="S2296" s="20"/>
      <c r="T2296" s="20"/>
      <c r="U2296" s="20"/>
      <c r="V2296" s="20"/>
      <c r="W2296" s="20"/>
      <c r="X2296" s="20"/>
      <c r="Y2296" s="20"/>
    </row>
    <row r="2297" spans="1:25" x14ac:dyDescent="0.3">
      <c r="A2297" s="20"/>
      <c r="B2297" s="20"/>
      <c r="C2297" s="20"/>
      <c r="D2297" s="20"/>
      <c r="E2297" s="20"/>
      <c r="F2297" s="20"/>
      <c r="G2297" s="20"/>
      <c r="H2297" s="20"/>
      <c r="I2297" s="20"/>
      <c r="J2297" s="20"/>
      <c r="K2297" s="20"/>
      <c r="L2297" s="20"/>
      <c r="M2297" s="20"/>
      <c r="N2297" s="20"/>
      <c r="O2297" s="20"/>
      <c r="P2297" s="20"/>
      <c r="Q2297" s="20"/>
      <c r="R2297" s="20"/>
      <c r="S2297" s="20"/>
      <c r="T2297" s="20"/>
      <c r="U2297" s="20"/>
      <c r="V2297" s="20"/>
      <c r="W2297" s="20"/>
      <c r="X2297" s="20"/>
      <c r="Y2297" s="20"/>
    </row>
    <row r="2298" spans="1:25" x14ac:dyDescent="0.3">
      <c r="A2298" s="20"/>
      <c r="B2298" s="20"/>
      <c r="C2298" s="20"/>
      <c r="D2298" s="20"/>
      <c r="E2298" s="20"/>
      <c r="F2298" s="20"/>
      <c r="G2298" s="20"/>
      <c r="H2298" s="20"/>
      <c r="I2298" s="20"/>
      <c r="J2298" s="20"/>
      <c r="K2298" s="20"/>
      <c r="L2298" s="20"/>
      <c r="M2298" s="20"/>
      <c r="N2298" s="20"/>
      <c r="O2298" s="20"/>
      <c r="P2298" s="20"/>
      <c r="Q2298" s="20"/>
      <c r="R2298" s="20"/>
      <c r="S2298" s="20"/>
      <c r="T2298" s="20"/>
      <c r="U2298" s="20"/>
      <c r="V2298" s="20"/>
      <c r="W2298" s="20"/>
      <c r="X2298" s="20"/>
      <c r="Y2298" s="20"/>
    </row>
    <row r="2299" spans="1:25" x14ac:dyDescent="0.3">
      <c r="A2299" s="20"/>
      <c r="B2299" s="20"/>
      <c r="C2299" s="20"/>
      <c r="D2299" s="20"/>
      <c r="E2299" s="20"/>
      <c r="F2299" s="20"/>
      <c r="G2299" s="20"/>
      <c r="H2299" s="20"/>
      <c r="I2299" s="20"/>
      <c r="J2299" s="20"/>
      <c r="K2299" s="20"/>
      <c r="L2299" s="20"/>
      <c r="M2299" s="20"/>
      <c r="N2299" s="20"/>
      <c r="O2299" s="20"/>
      <c r="P2299" s="20"/>
      <c r="Q2299" s="20"/>
      <c r="R2299" s="20"/>
      <c r="S2299" s="20"/>
      <c r="T2299" s="20"/>
      <c r="U2299" s="20"/>
      <c r="V2299" s="20"/>
      <c r="W2299" s="20"/>
      <c r="X2299" s="20"/>
      <c r="Y2299" s="20"/>
    </row>
    <row r="2300" spans="1:25" x14ac:dyDescent="0.3">
      <c r="A2300" s="20"/>
      <c r="B2300" s="20"/>
      <c r="C2300" s="20"/>
      <c r="D2300" s="20"/>
      <c r="E2300" s="20"/>
      <c r="F2300" s="20"/>
      <c r="G2300" s="20"/>
      <c r="H2300" s="20"/>
      <c r="I2300" s="20"/>
      <c r="J2300" s="20"/>
      <c r="K2300" s="20"/>
      <c r="L2300" s="20"/>
      <c r="M2300" s="20"/>
      <c r="N2300" s="20"/>
      <c r="O2300" s="20"/>
      <c r="P2300" s="20"/>
      <c r="Q2300" s="20"/>
      <c r="R2300" s="20"/>
      <c r="S2300" s="20"/>
      <c r="T2300" s="20"/>
      <c r="U2300" s="20"/>
      <c r="V2300" s="20"/>
      <c r="W2300" s="20"/>
      <c r="X2300" s="20"/>
      <c r="Y2300" s="20"/>
    </row>
    <row r="2301" spans="1:25" x14ac:dyDescent="0.3">
      <c r="A2301" s="20"/>
      <c r="B2301" s="20"/>
      <c r="C2301" s="20"/>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row>
    <row r="2302" spans="1:25" x14ac:dyDescent="0.3">
      <c r="A2302" s="20"/>
      <c r="B2302" s="20"/>
      <c r="C2302" s="20"/>
      <c r="D2302" s="20"/>
      <c r="E2302" s="20"/>
      <c r="F2302" s="20"/>
      <c r="G2302" s="20"/>
      <c r="H2302" s="20"/>
      <c r="I2302" s="20"/>
      <c r="J2302" s="20"/>
      <c r="K2302" s="20"/>
      <c r="L2302" s="20"/>
      <c r="M2302" s="20"/>
      <c r="N2302" s="20"/>
      <c r="O2302" s="20"/>
      <c r="P2302" s="20"/>
      <c r="Q2302" s="20"/>
      <c r="R2302" s="20"/>
      <c r="S2302" s="20"/>
      <c r="T2302" s="20"/>
      <c r="U2302" s="20"/>
      <c r="V2302" s="20"/>
      <c r="W2302" s="20"/>
      <c r="X2302" s="20"/>
      <c r="Y2302" s="20"/>
    </row>
    <row r="2303" spans="1:25" x14ac:dyDescent="0.3">
      <c r="A2303" s="20"/>
      <c r="B2303" s="20"/>
      <c r="C2303" s="20"/>
      <c r="D2303" s="20"/>
      <c r="E2303" s="20"/>
      <c r="F2303" s="20"/>
      <c r="G2303" s="20"/>
      <c r="H2303" s="20"/>
      <c r="I2303" s="20"/>
      <c r="J2303" s="20"/>
      <c r="K2303" s="20"/>
      <c r="L2303" s="20"/>
      <c r="M2303" s="20"/>
      <c r="N2303" s="20"/>
      <c r="O2303" s="20"/>
      <c r="P2303" s="20"/>
      <c r="Q2303" s="20"/>
      <c r="R2303" s="20"/>
      <c r="S2303" s="20"/>
      <c r="T2303" s="20"/>
      <c r="U2303" s="20"/>
      <c r="V2303" s="20"/>
      <c r="W2303" s="20"/>
      <c r="X2303" s="20"/>
      <c r="Y2303" s="20"/>
    </row>
    <row r="2304" spans="1:25" x14ac:dyDescent="0.3">
      <c r="A2304" s="20"/>
      <c r="B2304" s="20"/>
      <c r="C2304" s="20"/>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row>
    <row r="2305" spans="1:25" x14ac:dyDescent="0.3">
      <c r="A2305" s="20"/>
      <c r="B2305" s="20"/>
      <c r="C2305" s="20"/>
      <c r="D2305" s="20"/>
      <c r="E2305" s="20"/>
      <c r="F2305" s="20"/>
      <c r="G2305" s="20"/>
      <c r="H2305" s="20"/>
      <c r="I2305" s="20"/>
      <c r="J2305" s="20"/>
      <c r="K2305" s="20"/>
      <c r="L2305" s="20"/>
      <c r="M2305" s="20"/>
      <c r="N2305" s="20"/>
      <c r="O2305" s="20"/>
      <c r="P2305" s="20"/>
      <c r="Q2305" s="20"/>
      <c r="R2305" s="20"/>
      <c r="S2305" s="20"/>
      <c r="T2305" s="20"/>
      <c r="U2305" s="20"/>
      <c r="V2305" s="20"/>
      <c r="W2305" s="20"/>
      <c r="X2305" s="20"/>
      <c r="Y2305" s="20"/>
    </row>
    <row r="2306" spans="1:25" x14ac:dyDescent="0.3">
      <c r="A2306" s="20"/>
      <c r="B2306" s="20"/>
      <c r="C2306" s="20"/>
      <c r="D2306" s="20"/>
      <c r="E2306" s="20"/>
      <c r="F2306" s="20"/>
      <c r="G2306" s="20"/>
      <c r="H2306" s="20"/>
      <c r="I2306" s="20"/>
      <c r="J2306" s="20"/>
      <c r="K2306" s="20"/>
      <c r="L2306" s="20"/>
      <c r="M2306" s="20"/>
      <c r="N2306" s="20"/>
      <c r="O2306" s="20"/>
      <c r="P2306" s="20"/>
      <c r="Q2306" s="20"/>
      <c r="R2306" s="20"/>
      <c r="S2306" s="20"/>
      <c r="T2306" s="20"/>
      <c r="U2306" s="20"/>
      <c r="V2306" s="20"/>
      <c r="W2306" s="20"/>
      <c r="X2306" s="20"/>
      <c r="Y2306" s="20"/>
    </row>
    <row r="2307" spans="1:25" x14ac:dyDescent="0.3">
      <c r="A2307" s="20"/>
      <c r="B2307" s="20"/>
      <c r="C2307" s="20"/>
      <c r="D2307" s="20"/>
      <c r="E2307" s="20"/>
      <c r="F2307" s="20"/>
      <c r="G2307" s="20"/>
      <c r="H2307" s="20"/>
      <c r="I2307" s="20"/>
      <c r="J2307" s="20"/>
      <c r="K2307" s="20"/>
      <c r="L2307" s="20"/>
      <c r="M2307" s="20"/>
      <c r="N2307" s="20"/>
      <c r="O2307" s="20"/>
      <c r="P2307" s="20"/>
      <c r="Q2307" s="20"/>
      <c r="R2307" s="20"/>
      <c r="S2307" s="20"/>
      <c r="T2307" s="20"/>
      <c r="U2307" s="20"/>
      <c r="V2307" s="20"/>
      <c r="W2307" s="20"/>
      <c r="X2307" s="20"/>
      <c r="Y2307" s="20"/>
    </row>
    <row r="2308" spans="1:25" x14ac:dyDescent="0.3">
      <c r="A2308" s="20"/>
      <c r="B2308" s="20"/>
      <c r="C2308" s="20"/>
      <c r="D2308" s="20"/>
      <c r="E2308" s="20"/>
      <c r="F2308" s="20"/>
      <c r="G2308" s="20"/>
      <c r="H2308" s="20"/>
      <c r="I2308" s="20"/>
      <c r="J2308" s="20"/>
      <c r="K2308" s="20"/>
      <c r="L2308" s="20"/>
      <c r="M2308" s="20"/>
      <c r="N2308" s="20"/>
      <c r="O2308" s="20"/>
      <c r="P2308" s="20"/>
      <c r="Q2308" s="20"/>
      <c r="R2308" s="20"/>
      <c r="S2308" s="20"/>
      <c r="T2308" s="20"/>
      <c r="U2308" s="20"/>
      <c r="V2308" s="20"/>
      <c r="W2308" s="20"/>
      <c r="X2308" s="20"/>
      <c r="Y2308" s="20"/>
    </row>
    <row r="2309" spans="1:25" x14ac:dyDescent="0.3">
      <c r="A2309" s="20"/>
      <c r="B2309" s="20"/>
      <c r="C2309" s="20"/>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row>
    <row r="2310" spans="1:25" x14ac:dyDescent="0.3">
      <c r="A2310" s="20"/>
      <c r="B2310" s="20"/>
      <c r="C2310" s="20"/>
      <c r="D2310" s="20"/>
      <c r="E2310" s="20"/>
      <c r="F2310" s="20"/>
      <c r="G2310" s="20"/>
      <c r="H2310" s="20"/>
      <c r="I2310" s="20"/>
      <c r="J2310" s="20"/>
      <c r="K2310" s="20"/>
      <c r="L2310" s="20"/>
      <c r="M2310" s="20"/>
      <c r="N2310" s="20"/>
      <c r="O2310" s="20"/>
      <c r="P2310" s="20"/>
      <c r="Q2310" s="20"/>
      <c r="R2310" s="20"/>
      <c r="S2310" s="20"/>
      <c r="T2310" s="20"/>
      <c r="U2310" s="20"/>
      <c r="V2310" s="20"/>
      <c r="W2310" s="20"/>
      <c r="X2310" s="20"/>
      <c r="Y2310" s="20"/>
    </row>
    <row r="2311" spans="1:25" x14ac:dyDescent="0.3">
      <c r="A2311" s="20"/>
      <c r="B2311" s="20"/>
      <c r="C2311" s="20"/>
      <c r="D2311" s="20"/>
      <c r="E2311" s="20"/>
      <c r="F2311" s="20"/>
      <c r="G2311" s="20"/>
      <c r="H2311" s="20"/>
      <c r="I2311" s="20"/>
      <c r="J2311" s="20"/>
      <c r="K2311" s="20"/>
      <c r="L2311" s="20"/>
      <c r="M2311" s="20"/>
      <c r="N2311" s="20"/>
      <c r="O2311" s="20"/>
      <c r="P2311" s="20"/>
      <c r="Q2311" s="20"/>
      <c r="R2311" s="20"/>
      <c r="S2311" s="20"/>
      <c r="T2311" s="20"/>
      <c r="U2311" s="20"/>
      <c r="V2311" s="20"/>
      <c r="W2311" s="20"/>
      <c r="X2311" s="20"/>
      <c r="Y2311" s="20"/>
    </row>
    <row r="2312" spans="1:25" x14ac:dyDescent="0.3">
      <c r="A2312" s="20"/>
      <c r="B2312" s="20"/>
      <c r="C2312" s="20"/>
      <c r="D2312" s="20"/>
      <c r="E2312" s="20"/>
      <c r="F2312" s="20"/>
      <c r="G2312" s="20"/>
      <c r="H2312" s="20"/>
      <c r="I2312" s="20"/>
      <c r="J2312" s="20"/>
      <c r="K2312" s="20"/>
      <c r="L2312" s="20"/>
      <c r="M2312" s="20"/>
      <c r="N2312" s="20"/>
      <c r="O2312" s="20"/>
      <c r="P2312" s="20"/>
      <c r="Q2312" s="20"/>
      <c r="R2312" s="20"/>
      <c r="S2312" s="20"/>
      <c r="T2312" s="20"/>
      <c r="U2312" s="20"/>
      <c r="V2312" s="20"/>
      <c r="W2312" s="20"/>
      <c r="X2312" s="20"/>
      <c r="Y2312" s="20"/>
    </row>
    <row r="2313" spans="1:25" x14ac:dyDescent="0.3">
      <c r="A2313" s="20"/>
      <c r="B2313" s="20"/>
      <c r="C2313" s="20"/>
      <c r="D2313" s="20"/>
      <c r="E2313" s="20"/>
      <c r="F2313" s="20"/>
      <c r="G2313" s="20"/>
      <c r="H2313" s="20"/>
      <c r="I2313" s="20"/>
      <c r="J2313" s="20"/>
      <c r="K2313" s="20"/>
      <c r="L2313" s="20"/>
      <c r="M2313" s="20"/>
      <c r="N2313" s="20"/>
      <c r="O2313" s="20"/>
      <c r="P2313" s="20"/>
      <c r="Q2313" s="20"/>
      <c r="R2313" s="20"/>
      <c r="S2313" s="20"/>
      <c r="T2313" s="20"/>
      <c r="U2313" s="20"/>
      <c r="V2313" s="20"/>
      <c r="W2313" s="20"/>
      <c r="X2313" s="20"/>
      <c r="Y2313" s="20"/>
    </row>
    <row r="2314" spans="1:25" x14ac:dyDescent="0.3">
      <c r="A2314" s="20"/>
      <c r="B2314" s="20"/>
      <c r="C2314" s="20"/>
      <c r="D2314" s="20"/>
      <c r="E2314" s="20"/>
      <c r="F2314" s="20"/>
      <c r="G2314" s="20"/>
      <c r="H2314" s="20"/>
      <c r="I2314" s="20"/>
      <c r="J2314" s="20"/>
      <c r="K2314" s="20"/>
      <c r="L2314" s="20"/>
      <c r="M2314" s="20"/>
      <c r="N2314" s="20"/>
      <c r="O2314" s="20"/>
      <c r="P2314" s="20"/>
      <c r="Q2314" s="20"/>
      <c r="R2314" s="20"/>
      <c r="S2314" s="20"/>
      <c r="T2314" s="20"/>
      <c r="U2314" s="20"/>
      <c r="V2314" s="20"/>
      <c r="W2314" s="20"/>
      <c r="X2314" s="20"/>
      <c r="Y2314" s="20"/>
    </row>
    <row r="2315" spans="1:25" x14ac:dyDescent="0.3">
      <c r="A2315" s="20"/>
      <c r="B2315" s="20"/>
      <c r="C2315" s="20"/>
      <c r="D2315" s="20"/>
      <c r="E2315" s="20"/>
      <c r="F2315" s="20"/>
      <c r="G2315" s="20"/>
      <c r="H2315" s="20"/>
      <c r="I2315" s="20"/>
      <c r="J2315" s="20"/>
      <c r="K2315" s="20"/>
      <c r="L2315" s="20"/>
      <c r="M2315" s="20"/>
      <c r="N2315" s="20"/>
      <c r="O2315" s="20"/>
      <c r="P2315" s="20"/>
      <c r="Q2315" s="20"/>
      <c r="R2315" s="20"/>
      <c r="S2315" s="20"/>
      <c r="T2315" s="20"/>
      <c r="U2315" s="20"/>
      <c r="V2315" s="20"/>
      <c r="W2315" s="20"/>
      <c r="X2315" s="20"/>
      <c r="Y2315" s="20"/>
    </row>
    <row r="2316" spans="1:25" x14ac:dyDescent="0.3">
      <c r="A2316" s="20"/>
      <c r="B2316" s="20"/>
      <c r="C2316" s="20"/>
      <c r="D2316" s="20"/>
      <c r="E2316" s="20"/>
      <c r="F2316" s="20"/>
      <c r="G2316" s="20"/>
      <c r="H2316" s="20"/>
      <c r="I2316" s="20"/>
      <c r="J2316" s="20"/>
      <c r="K2316" s="20"/>
      <c r="L2316" s="20"/>
      <c r="M2316" s="20"/>
      <c r="N2316" s="20"/>
      <c r="O2316" s="20"/>
      <c r="P2316" s="20"/>
      <c r="Q2316" s="20"/>
      <c r="R2316" s="20"/>
      <c r="S2316" s="20"/>
      <c r="T2316" s="20"/>
      <c r="U2316" s="20"/>
      <c r="V2316" s="20"/>
      <c r="W2316" s="20"/>
      <c r="X2316" s="20"/>
      <c r="Y2316" s="20"/>
    </row>
    <row r="2317" spans="1:25" x14ac:dyDescent="0.3">
      <c r="A2317" s="20"/>
      <c r="B2317" s="20"/>
      <c r="C2317" s="20"/>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row>
    <row r="2318" spans="1:25" x14ac:dyDescent="0.3">
      <c r="A2318" s="20"/>
      <c r="B2318" s="20"/>
      <c r="C2318" s="20"/>
      <c r="D2318" s="20"/>
      <c r="E2318" s="20"/>
      <c r="F2318" s="20"/>
      <c r="G2318" s="20"/>
      <c r="H2318" s="20"/>
      <c r="I2318" s="20"/>
      <c r="J2318" s="20"/>
      <c r="K2318" s="20"/>
      <c r="L2318" s="20"/>
      <c r="M2318" s="20"/>
      <c r="N2318" s="20"/>
      <c r="O2318" s="20"/>
      <c r="P2318" s="20"/>
      <c r="Q2318" s="20"/>
      <c r="R2318" s="20"/>
      <c r="S2318" s="20"/>
      <c r="T2318" s="20"/>
      <c r="U2318" s="20"/>
      <c r="V2318" s="20"/>
      <c r="W2318" s="20"/>
      <c r="X2318" s="20"/>
      <c r="Y2318" s="20"/>
    </row>
    <row r="2319" spans="1:25" x14ac:dyDescent="0.3">
      <c r="A2319" s="20"/>
      <c r="B2319" s="20"/>
      <c r="C2319" s="20"/>
      <c r="D2319" s="20"/>
      <c r="E2319" s="20"/>
      <c r="F2319" s="20"/>
      <c r="G2319" s="20"/>
      <c r="H2319" s="20"/>
      <c r="I2319" s="20"/>
      <c r="J2319" s="20"/>
      <c r="K2319" s="20"/>
      <c r="L2319" s="20"/>
      <c r="M2319" s="20"/>
      <c r="N2319" s="20"/>
      <c r="O2319" s="20"/>
      <c r="P2319" s="20"/>
      <c r="Q2319" s="20"/>
      <c r="R2319" s="20"/>
      <c r="S2319" s="20"/>
      <c r="T2319" s="20"/>
      <c r="U2319" s="20"/>
      <c r="V2319" s="20"/>
      <c r="W2319" s="20"/>
      <c r="X2319" s="20"/>
      <c r="Y2319" s="20"/>
    </row>
    <row r="2320" spans="1:25" x14ac:dyDescent="0.3">
      <c r="A2320" s="20"/>
      <c r="B2320" s="20"/>
      <c r="C2320" s="20"/>
      <c r="D2320" s="20"/>
      <c r="E2320" s="20"/>
      <c r="F2320" s="20"/>
      <c r="G2320" s="20"/>
      <c r="H2320" s="20"/>
      <c r="I2320" s="20"/>
      <c r="J2320" s="20"/>
      <c r="K2320" s="20"/>
      <c r="L2320" s="20"/>
      <c r="M2320" s="20"/>
      <c r="N2320" s="20"/>
      <c r="O2320" s="20"/>
      <c r="P2320" s="20"/>
      <c r="Q2320" s="20"/>
      <c r="R2320" s="20"/>
      <c r="S2320" s="20"/>
      <c r="T2320" s="20"/>
      <c r="U2320" s="20"/>
      <c r="V2320" s="20"/>
      <c r="W2320" s="20"/>
      <c r="X2320" s="20"/>
      <c r="Y2320" s="20"/>
    </row>
    <row r="2321" spans="1:25" x14ac:dyDescent="0.3">
      <c r="A2321" s="20"/>
      <c r="B2321" s="20"/>
      <c r="C2321" s="20"/>
      <c r="D2321" s="20"/>
      <c r="E2321" s="20"/>
      <c r="F2321" s="20"/>
      <c r="G2321" s="20"/>
      <c r="H2321" s="20"/>
      <c r="I2321" s="20"/>
      <c r="J2321" s="20"/>
      <c r="K2321" s="20"/>
      <c r="L2321" s="20"/>
      <c r="M2321" s="20"/>
      <c r="N2321" s="20"/>
      <c r="O2321" s="20"/>
      <c r="P2321" s="20"/>
      <c r="Q2321" s="20"/>
      <c r="R2321" s="20"/>
      <c r="S2321" s="20"/>
      <c r="T2321" s="20"/>
      <c r="U2321" s="20"/>
      <c r="V2321" s="20"/>
      <c r="W2321" s="20"/>
      <c r="X2321" s="20"/>
      <c r="Y2321" s="20"/>
    </row>
    <row r="2322" spans="1:25" x14ac:dyDescent="0.3">
      <c r="A2322" s="20"/>
      <c r="B2322" s="20"/>
      <c r="C2322" s="20"/>
      <c r="D2322" s="20"/>
      <c r="E2322" s="20"/>
      <c r="F2322" s="20"/>
      <c r="G2322" s="20"/>
      <c r="H2322" s="20"/>
      <c r="I2322" s="20"/>
      <c r="J2322" s="20"/>
      <c r="K2322" s="20"/>
      <c r="L2322" s="20"/>
      <c r="M2322" s="20"/>
      <c r="N2322" s="20"/>
      <c r="O2322" s="20"/>
      <c r="P2322" s="20"/>
      <c r="Q2322" s="20"/>
      <c r="R2322" s="20"/>
      <c r="S2322" s="20"/>
      <c r="T2322" s="20"/>
      <c r="U2322" s="20"/>
      <c r="V2322" s="20"/>
      <c r="W2322" s="20"/>
      <c r="X2322" s="20"/>
      <c r="Y2322" s="20"/>
    </row>
    <row r="2323" spans="1:25" x14ac:dyDescent="0.3">
      <c r="A2323" s="20"/>
      <c r="B2323" s="20"/>
      <c r="C2323" s="20"/>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row>
    <row r="2324" spans="1:25" x14ac:dyDescent="0.3">
      <c r="A2324" s="20"/>
      <c r="B2324" s="20"/>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row>
    <row r="2325" spans="1:25" x14ac:dyDescent="0.3">
      <c r="A2325" s="20"/>
      <c r="B2325" s="20"/>
      <c r="C2325" s="20"/>
      <c r="D2325" s="20"/>
      <c r="E2325" s="20"/>
      <c r="F2325" s="20"/>
      <c r="G2325" s="20"/>
      <c r="H2325" s="20"/>
      <c r="I2325" s="20"/>
      <c r="J2325" s="20"/>
      <c r="K2325" s="20"/>
      <c r="L2325" s="20"/>
      <c r="M2325" s="20"/>
      <c r="N2325" s="20"/>
      <c r="O2325" s="20"/>
      <c r="P2325" s="20"/>
      <c r="Q2325" s="20"/>
      <c r="R2325" s="20"/>
      <c r="S2325" s="20"/>
      <c r="T2325" s="20"/>
      <c r="U2325" s="20"/>
      <c r="V2325" s="20"/>
      <c r="W2325" s="20"/>
      <c r="X2325" s="20"/>
      <c r="Y2325" s="20"/>
    </row>
    <row r="2326" spans="1:25" x14ac:dyDescent="0.3">
      <c r="A2326" s="20"/>
      <c r="B2326" s="20"/>
      <c r="C2326" s="20"/>
      <c r="D2326" s="20"/>
      <c r="E2326" s="20"/>
      <c r="F2326" s="20"/>
      <c r="G2326" s="20"/>
      <c r="H2326" s="20"/>
      <c r="I2326" s="20"/>
      <c r="J2326" s="20"/>
      <c r="K2326" s="20"/>
      <c r="L2326" s="20"/>
      <c r="M2326" s="20"/>
      <c r="N2326" s="20"/>
      <c r="O2326" s="20"/>
      <c r="P2326" s="20"/>
      <c r="Q2326" s="20"/>
      <c r="R2326" s="20"/>
      <c r="S2326" s="20"/>
      <c r="T2326" s="20"/>
      <c r="U2326" s="20"/>
      <c r="V2326" s="20"/>
      <c r="W2326" s="20"/>
      <c r="X2326" s="20"/>
      <c r="Y2326" s="20"/>
    </row>
    <row r="2327" spans="1:25" x14ac:dyDescent="0.3">
      <c r="A2327" s="20"/>
      <c r="B2327" s="20"/>
      <c r="C2327" s="20"/>
      <c r="D2327" s="20"/>
      <c r="E2327" s="20"/>
      <c r="F2327" s="20"/>
      <c r="G2327" s="20"/>
      <c r="H2327" s="20"/>
      <c r="I2327" s="20"/>
      <c r="J2327" s="20"/>
      <c r="K2327" s="20"/>
      <c r="L2327" s="20"/>
      <c r="M2327" s="20"/>
      <c r="N2327" s="20"/>
      <c r="O2327" s="20"/>
      <c r="P2327" s="20"/>
      <c r="Q2327" s="20"/>
      <c r="R2327" s="20"/>
      <c r="S2327" s="20"/>
      <c r="T2327" s="20"/>
      <c r="U2327" s="20"/>
      <c r="V2327" s="20"/>
      <c r="W2327" s="20"/>
      <c r="X2327" s="20"/>
      <c r="Y2327" s="20"/>
    </row>
    <row r="2328" spans="1:25" x14ac:dyDescent="0.3">
      <c r="A2328" s="20"/>
      <c r="B2328" s="20"/>
      <c r="C2328" s="20"/>
      <c r="D2328" s="20"/>
      <c r="E2328" s="20"/>
      <c r="F2328" s="20"/>
      <c r="G2328" s="20"/>
      <c r="H2328" s="20"/>
      <c r="I2328" s="20"/>
      <c r="J2328" s="20"/>
      <c r="K2328" s="20"/>
      <c r="L2328" s="20"/>
      <c r="M2328" s="20"/>
      <c r="N2328" s="20"/>
      <c r="O2328" s="20"/>
      <c r="P2328" s="20"/>
      <c r="Q2328" s="20"/>
      <c r="R2328" s="20"/>
      <c r="S2328" s="20"/>
      <c r="T2328" s="20"/>
      <c r="U2328" s="20"/>
      <c r="V2328" s="20"/>
      <c r="W2328" s="20"/>
      <c r="X2328" s="20"/>
      <c r="Y2328" s="20"/>
    </row>
    <row r="2329" spans="1:25" x14ac:dyDescent="0.3">
      <c r="A2329" s="20"/>
      <c r="B2329" s="20"/>
      <c r="C2329" s="20"/>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row>
    <row r="2330" spans="1:25" x14ac:dyDescent="0.3">
      <c r="A2330" s="20"/>
      <c r="B2330" s="20"/>
      <c r="C2330" s="20"/>
      <c r="D2330" s="20"/>
      <c r="E2330" s="20"/>
      <c r="F2330" s="20"/>
      <c r="G2330" s="20"/>
      <c r="H2330" s="20"/>
      <c r="I2330" s="20"/>
      <c r="J2330" s="20"/>
      <c r="K2330" s="20"/>
      <c r="L2330" s="20"/>
      <c r="M2330" s="20"/>
      <c r="N2330" s="20"/>
      <c r="O2330" s="20"/>
      <c r="P2330" s="20"/>
      <c r="Q2330" s="20"/>
      <c r="R2330" s="20"/>
      <c r="S2330" s="20"/>
      <c r="T2330" s="20"/>
      <c r="U2330" s="20"/>
      <c r="V2330" s="20"/>
      <c r="W2330" s="20"/>
      <c r="X2330" s="20"/>
      <c r="Y2330" s="20"/>
    </row>
    <row r="2331" spans="1:25" x14ac:dyDescent="0.3">
      <c r="A2331" s="20"/>
      <c r="B2331" s="20"/>
      <c r="C2331" s="20"/>
      <c r="D2331" s="20"/>
      <c r="E2331" s="20"/>
      <c r="F2331" s="20"/>
      <c r="G2331" s="20"/>
      <c r="H2331" s="20"/>
      <c r="I2331" s="20"/>
      <c r="J2331" s="20"/>
      <c r="K2331" s="20"/>
      <c r="L2331" s="20"/>
      <c r="M2331" s="20"/>
      <c r="N2331" s="20"/>
      <c r="O2331" s="20"/>
      <c r="P2331" s="20"/>
      <c r="Q2331" s="20"/>
      <c r="R2331" s="20"/>
      <c r="S2331" s="20"/>
      <c r="T2331" s="20"/>
      <c r="U2331" s="20"/>
      <c r="V2331" s="20"/>
      <c r="W2331" s="20"/>
      <c r="X2331" s="20"/>
      <c r="Y2331" s="20"/>
    </row>
    <row r="2332" spans="1:25" x14ac:dyDescent="0.3">
      <c r="A2332" s="20"/>
      <c r="B2332" s="20"/>
      <c r="C2332" s="20"/>
      <c r="D2332" s="20"/>
      <c r="E2332" s="20"/>
      <c r="F2332" s="20"/>
      <c r="G2332" s="20"/>
      <c r="H2332" s="20"/>
      <c r="I2332" s="20"/>
      <c r="J2332" s="20"/>
      <c r="K2332" s="20"/>
      <c r="L2332" s="20"/>
      <c r="M2332" s="20"/>
      <c r="N2332" s="20"/>
      <c r="O2332" s="20"/>
      <c r="P2332" s="20"/>
      <c r="Q2332" s="20"/>
      <c r="R2332" s="20"/>
      <c r="S2332" s="20"/>
      <c r="T2332" s="20"/>
      <c r="U2332" s="20"/>
      <c r="V2332" s="20"/>
      <c r="W2332" s="20"/>
      <c r="X2332" s="20"/>
      <c r="Y2332" s="20"/>
    </row>
    <row r="2333" spans="1:25" x14ac:dyDescent="0.3">
      <c r="A2333" s="20"/>
      <c r="B2333" s="20"/>
      <c r="C2333" s="20"/>
      <c r="D2333" s="20"/>
      <c r="E2333" s="20"/>
      <c r="F2333" s="20"/>
      <c r="G2333" s="20"/>
      <c r="H2333" s="20"/>
      <c r="I2333" s="20"/>
      <c r="J2333" s="20"/>
      <c r="K2333" s="20"/>
      <c r="L2333" s="20"/>
      <c r="M2333" s="20"/>
      <c r="N2333" s="20"/>
      <c r="O2333" s="20"/>
      <c r="P2333" s="20"/>
      <c r="Q2333" s="20"/>
      <c r="R2333" s="20"/>
      <c r="S2333" s="20"/>
      <c r="T2333" s="20"/>
      <c r="U2333" s="20"/>
      <c r="V2333" s="20"/>
      <c r="W2333" s="20"/>
      <c r="X2333" s="20"/>
      <c r="Y2333" s="20"/>
    </row>
    <row r="2334" spans="1:25" x14ac:dyDescent="0.3">
      <c r="A2334" s="20"/>
      <c r="B2334" s="20"/>
      <c r="C2334" s="20"/>
      <c r="D2334" s="20"/>
      <c r="E2334" s="20"/>
      <c r="F2334" s="20"/>
      <c r="G2334" s="20"/>
      <c r="H2334" s="20"/>
      <c r="I2334" s="20"/>
      <c r="J2334" s="20"/>
      <c r="K2334" s="20"/>
      <c r="L2334" s="20"/>
      <c r="M2334" s="20"/>
      <c r="N2334" s="20"/>
      <c r="O2334" s="20"/>
      <c r="P2334" s="20"/>
      <c r="Q2334" s="20"/>
      <c r="R2334" s="20"/>
      <c r="S2334" s="20"/>
      <c r="T2334" s="20"/>
      <c r="U2334" s="20"/>
      <c r="V2334" s="20"/>
      <c r="W2334" s="20"/>
      <c r="X2334" s="20"/>
      <c r="Y2334" s="20"/>
    </row>
    <row r="2335" spans="1:25" x14ac:dyDescent="0.3">
      <c r="A2335" s="20"/>
      <c r="B2335" s="20"/>
      <c r="C2335" s="20"/>
      <c r="D2335" s="20"/>
      <c r="E2335" s="20"/>
      <c r="F2335" s="20"/>
      <c r="G2335" s="20"/>
      <c r="H2335" s="20"/>
      <c r="I2335" s="20"/>
      <c r="J2335" s="20"/>
      <c r="K2335" s="20"/>
      <c r="L2335" s="20"/>
      <c r="M2335" s="20"/>
      <c r="N2335" s="20"/>
      <c r="O2335" s="20"/>
      <c r="P2335" s="20"/>
      <c r="Q2335" s="20"/>
      <c r="R2335" s="20"/>
      <c r="S2335" s="20"/>
      <c r="T2335" s="20"/>
      <c r="U2335" s="20"/>
      <c r="V2335" s="20"/>
      <c r="W2335" s="20"/>
      <c r="X2335" s="20"/>
      <c r="Y2335" s="20"/>
    </row>
    <row r="2336" spans="1:25" x14ac:dyDescent="0.3">
      <c r="A2336" s="20"/>
      <c r="B2336" s="20"/>
      <c r="C2336" s="20"/>
      <c r="D2336" s="20"/>
      <c r="E2336" s="20"/>
      <c r="F2336" s="20"/>
      <c r="G2336" s="20"/>
      <c r="H2336" s="20"/>
      <c r="I2336" s="20"/>
      <c r="J2336" s="20"/>
      <c r="K2336" s="20"/>
      <c r="L2336" s="20"/>
      <c r="M2336" s="20"/>
      <c r="N2336" s="20"/>
      <c r="O2336" s="20"/>
      <c r="P2336" s="20"/>
      <c r="Q2336" s="20"/>
      <c r="R2336" s="20"/>
      <c r="S2336" s="20"/>
      <c r="T2336" s="20"/>
      <c r="U2336" s="20"/>
      <c r="V2336" s="20"/>
      <c r="W2336" s="20"/>
      <c r="X2336" s="20"/>
      <c r="Y2336" s="20"/>
    </row>
    <row r="2337" spans="1:25" x14ac:dyDescent="0.3">
      <c r="A2337" s="20"/>
      <c r="B2337" s="20"/>
      <c r="C2337" s="20"/>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row>
    <row r="2338" spans="1:25" x14ac:dyDescent="0.3">
      <c r="A2338" s="20"/>
      <c r="B2338" s="20"/>
      <c r="C2338" s="20"/>
      <c r="D2338" s="20"/>
      <c r="E2338" s="20"/>
      <c r="F2338" s="20"/>
      <c r="G2338" s="20"/>
      <c r="H2338" s="20"/>
      <c r="I2338" s="20"/>
      <c r="J2338" s="20"/>
      <c r="K2338" s="20"/>
      <c r="L2338" s="20"/>
      <c r="M2338" s="20"/>
      <c r="N2338" s="20"/>
      <c r="O2338" s="20"/>
      <c r="P2338" s="20"/>
      <c r="Q2338" s="20"/>
      <c r="R2338" s="20"/>
      <c r="S2338" s="20"/>
      <c r="T2338" s="20"/>
      <c r="U2338" s="20"/>
      <c r="V2338" s="20"/>
      <c r="W2338" s="20"/>
      <c r="X2338" s="20"/>
      <c r="Y2338" s="20"/>
    </row>
    <row r="2339" spans="1:25" x14ac:dyDescent="0.3">
      <c r="A2339" s="20"/>
      <c r="B2339" s="20"/>
      <c r="C2339" s="20"/>
      <c r="D2339" s="20"/>
      <c r="E2339" s="20"/>
      <c r="F2339" s="20"/>
      <c r="G2339" s="20"/>
      <c r="H2339" s="20"/>
      <c r="I2339" s="20"/>
      <c r="J2339" s="20"/>
      <c r="K2339" s="20"/>
      <c r="L2339" s="20"/>
      <c r="M2339" s="20"/>
      <c r="N2339" s="20"/>
      <c r="O2339" s="20"/>
      <c r="P2339" s="20"/>
      <c r="Q2339" s="20"/>
      <c r="R2339" s="20"/>
      <c r="S2339" s="20"/>
      <c r="T2339" s="20"/>
      <c r="U2339" s="20"/>
      <c r="V2339" s="20"/>
      <c r="W2339" s="20"/>
      <c r="X2339" s="20"/>
      <c r="Y2339" s="20"/>
    </row>
    <row r="2340" spans="1:25" x14ac:dyDescent="0.3">
      <c r="A2340" s="20"/>
      <c r="B2340" s="20"/>
      <c r="C2340" s="20"/>
      <c r="D2340" s="20"/>
      <c r="E2340" s="20"/>
      <c r="F2340" s="20"/>
      <c r="G2340" s="20"/>
      <c r="H2340" s="20"/>
      <c r="I2340" s="20"/>
      <c r="J2340" s="20"/>
      <c r="K2340" s="20"/>
      <c r="L2340" s="20"/>
      <c r="M2340" s="20"/>
      <c r="N2340" s="20"/>
      <c r="O2340" s="20"/>
      <c r="P2340" s="20"/>
      <c r="Q2340" s="20"/>
      <c r="R2340" s="20"/>
      <c r="S2340" s="20"/>
      <c r="T2340" s="20"/>
      <c r="U2340" s="20"/>
      <c r="V2340" s="20"/>
      <c r="W2340" s="20"/>
      <c r="X2340" s="20"/>
      <c r="Y2340" s="20"/>
    </row>
    <row r="2341" spans="1:25" x14ac:dyDescent="0.3">
      <c r="A2341" s="20"/>
      <c r="B2341" s="20"/>
      <c r="C2341" s="20"/>
      <c r="D2341" s="20"/>
      <c r="E2341" s="20"/>
      <c r="F2341" s="20"/>
      <c r="G2341" s="20"/>
      <c r="H2341" s="20"/>
      <c r="I2341" s="20"/>
      <c r="J2341" s="20"/>
      <c r="K2341" s="20"/>
      <c r="L2341" s="20"/>
      <c r="M2341" s="20"/>
      <c r="N2341" s="20"/>
      <c r="O2341" s="20"/>
      <c r="P2341" s="20"/>
      <c r="Q2341" s="20"/>
      <c r="R2341" s="20"/>
      <c r="S2341" s="20"/>
      <c r="T2341" s="20"/>
      <c r="U2341" s="20"/>
      <c r="V2341" s="20"/>
      <c r="W2341" s="20"/>
      <c r="X2341" s="20"/>
      <c r="Y2341" s="20"/>
    </row>
    <row r="2342" spans="1:25" x14ac:dyDescent="0.3">
      <c r="A2342" s="20"/>
      <c r="B2342" s="20"/>
      <c r="C2342" s="20"/>
      <c r="D2342" s="20"/>
      <c r="E2342" s="20"/>
      <c r="F2342" s="20"/>
      <c r="G2342" s="20"/>
      <c r="H2342" s="20"/>
      <c r="I2342" s="20"/>
      <c r="J2342" s="20"/>
      <c r="K2342" s="20"/>
      <c r="L2342" s="20"/>
      <c r="M2342" s="20"/>
      <c r="N2342" s="20"/>
      <c r="O2342" s="20"/>
      <c r="P2342" s="20"/>
      <c r="Q2342" s="20"/>
      <c r="R2342" s="20"/>
      <c r="S2342" s="20"/>
      <c r="T2342" s="20"/>
      <c r="U2342" s="20"/>
      <c r="V2342" s="20"/>
      <c r="W2342" s="20"/>
      <c r="X2342" s="20"/>
      <c r="Y2342" s="20"/>
    </row>
    <row r="2343" spans="1:25" x14ac:dyDescent="0.3">
      <c r="A2343" s="20"/>
      <c r="B2343" s="20"/>
      <c r="C2343" s="20"/>
      <c r="D2343" s="20"/>
      <c r="E2343" s="20"/>
      <c r="F2343" s="20"/>
      <c r="G2343" s="20"/>
      <c r="H2343" s="20"/>
      <c r="I2343" s="20"/>
      <c r="J2343" s="20"/>
      <c r="K2343" s="20"/>
      <c r="L2343" s="20"/>
      <c r="M2343" s="20"/>
      <c r="N2343" s="20"/>
      <c r="O2343" s="20"/>
      <c r="P2343" s="20"/>
      <c r="Q2343" s="20"/>
      <c r="R2343" s="20"/>
      <c r="S2343" s="20"/>
      <c r="T2343" s="20"/>
      <c r="U2343" s="20"/>
      <c r="V2343" s="20"/>
      <c r="W2343" s="20"/>
      <c r="X2343" s="20"/>
      <c r="Y2343" s="20"/>
    </row>
    <row r="2344" spans="1:25" x14ac:dyDescent="0.3">
      <c r="A2344" s="20"/>
      <c r="B2344" s="20"/>
      <c r="C2344" s="20"/>
      <c r="D2344" s="20"/>
      <c r="E2344" s="20"/>
      <c r="F2344" s="20"/>
      <c r="G2344" s="20"/>
      <c r="H2344" s="20"/>
      <c r="I2344" s="20"/>
      <c r="J2344" s="20"/>
      <c r="K2344" s="20"/>
      <c r="L2344" s="20"/>
      <c r="M2344" s="20"/>
      <c r="N2344" s="20"/>
      <c r="O2344" s="20"/>
      <c r="P2344" s="20"/>
      <c r="Q2344" s="20"/>
      <c r="R2344" s="20"/>
      <c r="S2344" s="20"/>
      <c r="T2344" s="20"/>
      <c r="U2344" s="20"/>
      <c r="V2344" s="20"/>
      <c r="W2344" s="20"/>
      <c r="X2344" s="20"/>
      <c r="Y2344" s="20"/>
    </row>
    <row r="2345" spans="1:25" x14ac:dyDescent="0.3">
      <c r="A2345" s="20"/>
      <c r="B2345" s="20"/>
      <c r="C2345" s="20"/>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row>
    <row r="2346" spans="1:25" x14ac:dyDescent="0.3">
      <c r="A2346" s="20"/>
      <c r="B2346" s="20"/>
      <c r="C2346" s="20"/>
      <c r="D2346" s="20"/>
      <c r="E2346" s="20"/>
      <c r="F2346" s="20"/>
      <c r="G2346" s="20"/>
      <c r="H2346" s="20"/>
      <c r="I2346" s="20"/>
      <c r="J2346" s="20"/>
      <c r="K2346" s="20"/>
      <c r="L2346" s="20"/>
      <c r="M2346" s="20"/>
      <c r="N2346" s="20"/>
      <c r="O2346" s="20"/>
      <c r="P2346" s="20"/>
      <c r="Q2346" s="20"/>
      <c r="R2346" s="20"/>
      <c r="S2346" s="20"/>
      <c r="T2346" s="20"/>
      <c r="U2346" s="20"/>
      <c r="V2346" s="20"/>
      <c r="W2346" s="20"/>
      <c r="X2346" s="20"/>
      <c r="Y2346" s="20"/>
    </row>
    <row r="2347" spans="1:25" x14ac:dyDescent="0.3">
      <c r="A2347" s="20"/>
      <c r="B2347" s="20"/>
      <c r="C2347" s="20"/>
      <c r="D2347" s="20"/>
      <c r="E2347" s="20"/>
      <c r="F2347" s="20"/>
      <c r="G2347" s="20"/>
      <c r="H2347" s="20"/>
      <c r="I2347" s="20"/>
      <c r="J2347" s="20"/>
      <c r="K2347" s="20"/>
      <c r="L2347" s="20"/>
      <c r="M2347" s="20"/>
      <c r="N2347" s="20"/>
      <c r="O2347" s="20"/>
      <c r="P2347" s="20"/>
      <c r="Q2347" s="20"/>
      <c r="R2347" s="20"/>
      <c r="S2347" s="20"/>
      <c r="T2347" s="20"/>
      <c r="U2347" s="20"/>
      <c r="V2347" s="20"/>
      <c r="W2347" s="20"/>
      <c r="X2347" s="20"/>
      <c r="Y2347" s="20"/>
    </row>
    <row r="2348" spans="1:25" x14ac:dyDescent="0.3">
      <c r="A2348" s="20"/>
      <c r="B2348" s="20"/>
      <c r="C2348" s="20"/>
      <c r="D2348" s="20"/>
      <c r="E2348" s="20"/>
      <c r="F2348" s="20"/>
      <c r="G2348" s="20"/>
      <c r="H2348" s="20"/>
      <c r="I2348" s="20"/>
      <c r="J2348" s="20"/>
      <c r="K2348" s="20"/>
      <c r="L2348" s="20"/>
      <c r="M2348" s="20"/>
      <c r="N2348" s="20"/>
      <c r="O2348" s="20"/>
      <c r="P2348" s="20"/>
      <c r="Q2348" s="20"/>
      <c r="R2348" s="20"/>
      <c r="S2348" s="20"/>
      <c r="T2348" s="20"/>
      <c r="U2348" s="20"/>
      <c r="V2348" s="20"/>
      <c r="W2348" s="20"/>
      <c r="X2348" s="20"/>
      <c r="Y2348" s="20"/>
    </row>
    <row r="2349" spans="1:25" x14ac:dyDescent="0.3">
      <c r="A2349" s="20"/>
      <c r="B2349" s="20"/>
      <c r="C2349" s="20"/>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row>
    <row r="2350" spans="1:25" x14ac:dyDescent="0.3">
      <c r="A2350" s="20"/>
      <c r="B2350" s="20"/>
      <c r="C2350" s="20"/>
      <c r="D2350" s="20"/>
      <c r="E2350" s="20"/>
      <c r="F2350" s="20"/>
      <c r="G2350" s="20"/>
      <c r="H2350" s="20"/>
      <c r="I2350" s="20"/>
      <c r="J2350" s="20"/>
      <c r="K2350" s="20"/>
      <c r="L2350" s="20"/>
      <c r="M2350" s="20"/>
      <c r="N2350" s="20"/>
      <c r="O2350" s="20"/>
      <c r="P2350" s="20"/>
      <c r="Q2350" s="20"/>
      <c r="R2350" s="20"/>
      <c r="S2350" s="20"/>
      <c r="T2350" s="20"/>
      <c r="U2350" s="20"/>
      <c r="V2350" s="20"/>
      <c r="W2350" s="20"/>
      <c r="X2350" s="20"/>
      <c r="Y2350" s="20"/>
    </row>
    <row r="2351" spans="1:25" x14ac:dyDescent="0.3">
      <c r="A2351" s="20"/>
      <c r="B2351" s="20"/>
      <c r="C2351" s="20"/>
      <c r="D2351" s="20"/>
      <c r="E2351" s="20"/>
      <c r="F2351" s="20"/>
      <c r="G2351" s="20"/>
      <c r="H2351" s="20"/>
      <c r="I2351" s="20"/>
      <c r="J2351" s="20"/>
      <c r="K2351" s="20"/>
      <c r="L2351" s="20"/>
      <c r="M2351" s="20"/>
      <c r="N2351" s="20"/>
      <c r="O2351" s="20"/>
      <c r="P2351" s="20"/>
      <c r="Q2351" s="20"/>
      <c r="R2351" s="20"/>
      <c r="S2351" s="20"/>
      <c r="T2351" s="20"/>
      <c r="U2351" s="20"/>
      <c r="V2351" s="20"/>
      <c r="W2351" s="20"/>
      <c r="X2351" s="20"/>
      <c r="Y2351" s="20"/>
    </row>
    <row r="2352" spans="1:25" x14ac:dyDescent="0.3">
      <c r="A2352" s="20"/>
      <c r="B2352" s="20"/>
      <c r="C2352" s="20"/>
      <c r="D2352" s="20"/>
      <c r="E2352" s="20"/>
      <c r="F2352" s="20"/>
      <c r="G2352" s="20"/>
      <c r="H2352" s="20"/>
      <c r="I2352" s="20"/>
      <c r="J2352" s="20"/>
      <c r="K2352" s="20"/>
      <c r="L2352" s="20"/>
      <c r="M2352" s="20"/>
      <c r="N2352" s="20"/>
      <c r="O2352" s="20"/>
      <c r="P2352" s="20"/>
      <c r="Q2352" s="20"/>
      <c r="R2352" s="20"/>
      <c r="S2352" s="20"/>
      <c r="T2352" s="20"/>
      <c r="U2352" s="20"/>
      <c r="V2352" s="20"/>
      <c r="W2352" s="20"/>
      <c r="X2352" s="20"/>
      <c r="Y2352" s="20"/>
    </row>
    <row r="2353" spans="1:25" x14ac:dyDescent="0.3">
      <c r="A2353" s="20"/>
      <c r="B2353" s="20"/>
      <c r="C2353" s="20"/>
      <c r="D2353" s="20"/>
      <c r="E2353" s="20"/>
      <c r="F2353" s="20"/>
      <c r="G2353" s="20"/>
      <c r="H2353" s="20"/>
      <c r="I2353" s="20"/>
      <c r="J2353" s="20"/>
      <c r="K2353" s="20"/>
      <c r="L2353" s="20"/>
      <c r="M2353" s="20"/>
      <c r="N2353" s="20"/>
      <c r="O2353" s="20"/>
      <c r="P2353" s="20"/>
      <c r="Q2353" s="20"/>
      <c r="R2353" s="20"/>
      <c r="S2353" s="20"/>
      <c r="T2353" s="20"/>
      <c r="U2353" s="20"/>
      <c r="V2353" s="20"/>
      <c r="W2353" s="20"/>
      <c r="X2353" s="20"/>
      <c r="Y2353" s="20"/>
    </row>
    <row r="2354" spans="1:25" x14ac:dyDescent="0.3">
      <c r="A2354" s="20"/>
      <c r="B2354" s="20"/>
      <c r="C2354" s="20"/>
      <c r="D2354" s="20"/>
      <c r="E2354" s="20"/>
      <c r="F2354" s="20"/>
      <c r="G2354" s="20"/>
      <c r="H2354" s="20"/>
      <c r="I2354" s="20"/>
      <c r="J2354" s="20"/>
      <c r="K2354" s="20"/>
      <c r="L2354" s="20"/>
      <c r="M2354" s="20"/>
      <c r="N2354" s="20"/>
      <c r="O2354" s="20"/>
      <c r="P2354" s="20"/>
      <c r="Q2354" s="20"/>
      <c r="R2354" s="20"/>
      <c r="S2354" s="20"/>
      <c r="T2354" s="20"/>
      <c r="U2354" s="20"/>
      <c r="V2354" s="20"/>
      <c r="W2354" s="20"/>
      <c r="X2354" s="20"/>
      <c r="Y2354" s="20"/>
    </row>
    <row r="2355" spans="1:25" x14ac:dyDescent="0.3">
      <c r="A2355" s="20"/>
      <c r="B2355" s="20"/>
      <c r="C2355" s="20"/>
      <c r="D2355" s="20"/>
      <c r="E2355" s="20"/>
      <c r="F2355" s="20"/>
      <c r="G2355" s="20"/>
      <c r="H2355" s="20"/>
      <c r="I2355" s="20"/>
      <c r="J2355" s="20"/>
      <c r="K2355" s="20"/>
      <c r="L2355" s="20"/>
      <c r="M2355" s="20"/>
      <c r="N2355" s="20"/>
      <c r="O2355" s="20"/>
      <c r="P2355" s="20"/>
      <c r="Q2355" s="20"/>
      <c r="R2355" s="20"/>
      <c r="S2355" s="20"/>
      <c r="T2355" s="20"/>
      <c r="U2355" s="20"/>
      <c r="V2355" s="20"/>
      <c r="W2355" s="20"/>
      <c r="X2355" s="20"/>
      <c r="Y2355" s="20"/>
    </row>
    <row r="2356" spans="1:25" x14ac:dyDescent="0.3">
      <c r="A2356" s="20"/>
      <c r="B2356" s="20"/>
      <c r="C2356" s="20"/>
      <c r="D2356" s="20"/>
      <c r="E2356" s="20"/>
      <c r="F2356" s="20"/>
      <c r="G2356" s="20"/>
      <c r="H2356" s="20"/>
      <c r="I2356" s="20"/>
      <c r="J2356" s="20"/>
      <c r="K2356" s="20"/>
      <c r="L2356" s="20"/>
      <c r="M2356" s="20"/>
      <c r="N2356" s="20"/>
      <c r="O2356" s="20"/>
      <c r="P2356" s="20"/>
      <c r="Q2356" s="20"/>
      <c r="R2356" s="20"/>
      <c r="S2356" s="20"/>
      <c r="T2356" s="20"/>
      <c r="U2356" s="20"/>
      <c r="V2356" s="20"/>
      <c r="W2356" s="20"/>
      <c r="X2356" s="20"/>
      <c r="Y2356" s="20"/>
    </row>
    <row r="2357" spans="1:25" x14ac:dyDescent="0.3">
      <c r="A2357" s="20"/>
      <c r="B2357" s="20"/>
      <c r="C2357" s="20"/>
      <c r="D2357" s="20"/>
      <c r="E2357" s="20"/>
      <c r="F2357" s="20"/>
      <c r="G2357" s="20"/>
      <c r="H2357" s="20"/>
      <c r="I2357" s="20"/>
      <c r="J2357" s="20"/>
      <c r="K2357" s="20"/>
      <c r="L2357" s="20"/>
      <c r="M2357" s="20"/>
      <c r="N2357" s="20"/>
      <c r="O2357" s="20"/>
      <c r="P2357" s="20"/>
      <c r="Q2357" s="20"/>
      <c r="R2357" s="20"/>
      <c r="S2357" s="20"/>
      <c r="T2357" s="20"/>
      <c r="U2357" s="20"/>
      <c r="V2357" s="20"/>
      <c r="W2357" s="20"/>
      <c r="X2357" s="20"/>
      <c r="Y2357" s="20"/>
    </row>
    <row r="2358" spans="1:25" x14ac:dyDescent="0.3">
      <c r="A2358" s="20"/>
      <c r="B2358" s="20"/>
      <c r="C2358" s="20"/>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row>
    <row r="2359" spans="1:25" x14ac:dyDescent="0.3">
      <c r="A2359" s="20"/>
      <c r="B2359" s="20"/>
      <c r="C2359" s="20"/>
      <c r="D2359" s="20"/>
      <c r="E2359" s="20"/>
      <c r="F2359" s="20"/>
      <c r="G2359" s="20"/>
      <c r="H2359" s="20"/>
      <c r="I2359" s="20"/>
      <c r="J2359" s="20"/>
      <c r="K2359" s="20"/>
      <c r="L2359" s="20"/>
      <c r="M2359" s="20"/>
      <c r="N2359" s="20"/>
      <c r="O2359" s="20"/>
      <c r="P2359" s="20"/>
      <c r="Q2359" s="20"/>
      <c r="R2359" s="20"/>
      <c r="S2359" s="20"/>
      <c r="T2359" s="20"/>
      <c r="U2359" s="20"/>
      <c r="V2359" s="20"/>
      <c r="W2359" s="20"/>
      <c r="X2359" s="20"/>
      <c r="Y2359" s="20"/>
    </row>
    <row r="2360" spans="1:25" x14ac:dyDescent="0.3">
      <c r="A2360" s="20"/>
      <c r="B2360" s="20"/>
      <c r="C2360" s="20"/>
      <c r="D2360" s="20"/>
      <c r="E2360" s="20"/>
      <c r="F2360" s="20"/>
      <c r="G2360" s="20"/>
      <c r="H2360" s="20"/>
      <c r="I2360" s="20"/>
      <c r="J2360" s="20"/>
      <c r="K2360" s="20"/>
      <c r="L2360" s="20"/>
      <c r="M2360" s="20"/>
      <c r="N2360" s="20"/>
      <c r="O2360" s="20"/>
      <c r="P2360" s="20"/>
      <c r="Q2360" s="20"/>
      <c r="R2360" s="20"/>
      <c r="S2360" s="20"/>
      <c r="T2360" s="20"/>
      <c r="U2360" s="20"/>
      <c r="V2360" s="20"/>
      <c r="W2360" s="20"/>
      <c r="X2360" s="20"/>
      <c r="Y2360" s="20"/>
    </row>
    <row r="2361" spans="1:25" x14ac:dyDescent="0.3">
      <c r="A2361" s="20"/>
      <c r="B2361" s="20"/>
      <c r="C2361" s="20"/>
      <c r="D2361" s="20"/>
      <c r="E2361" s="20"/>
      <c r="F2361" s="20"/>
      <c r="G2361" s="20"/>
      <c r="H2361" s="20"/>
      <c r="I2361" s="20"/>
      <c r="J2361" s="20"/>
      <c r="K2361" s="20"/>
      <c r="L2361" s="20"/>
      <c r="M2361" s="20"/>
      <c r="N2361" s="20"/>
      <c r="O2361" s="20"/>
      <c r="P2361" s="20"/>
      <c r="Q2361" s="20"/>
      <c r="R2361" s="20"/>
      <c r="S2361" s="20"/>
      <c r="T2361" s="20"/>
      <c r="U2361" s="20"/>
      <c r="V2361" s="20"/>
      <c r="W2361" s="20"/>
      <c r="X2361" s="20"/>
      <c r="Y2361" s="20"/>
    </row>
    <row r="2362" spans="1:25" x14ac:dyDescent="0.3">
      <c r="A2362" s="20"/>
      <c r="B2362" s="20"/>
      <c r="C2362" s="20"/>
      <c r="D2362" s="20"/>
      <c r="E2362" s="20"/>
      <c r="F2362" s="20"/>
      <c r="G2362" s="20"/>
      <c r="H2362" s="20"/>
      <c r="I2362" s="20"/>
      <c r="J2362" s="20"/>
      <c r="K2362" s="20"/>
      <c r="L2362" s="20"/>
      <c r="M2362" s="20"/>
      <c r="N2362" s="20"/>
      <c r="O2362" s="20"/>
      <c r="P2362" s="20"/>
      <c r="Q2362" s="20"/>
      <c r="R2362" s="20"/>
      <c r="S2362" s="20"/>
      <c r="T2362" s="20"/>
      <c r="U2362" s="20"/>
      <c r="V2362" s="20"/>
      <c r="W2362" s="20"/>
      <c r="X2362" s="20"/>
      <c r="Y2362" s="20"/>
    </row>
    <row r="2363" spans="1:25" x14ac:dyDescent="0.3">
      <c r="A2363" s="20"/>
      <c r="B2363" s="20"/>
      <c r="C2363" s="20"/>
      <c r="D2363" s="20"/>
      <c r="E2363" s="20"/>
      <c r="F2363" s="20"/>
      <c r="G2363" s="20"/>
      <c r="H2363" s="20"/>
      <c r="I2363" s="20"/>
      <c r="J2363" s="20"/>
      <c r="K2363" s="20"/>
      <c r="L2363" s="20"/>
      <c r="M2363" s="20"/>
      <c r="N2363" s="20"/>
      <c r="O2363" s="20"/>
      <c r="P2363" s="20"/>
      <c r="Q2363" s="20"/>
      <c r="R2363" s="20"/>
      <c r="S2363" s="20"/>
      <c r="T2363" s="20"/>
      <c r="U2363" s="20"/>
      <c r="V2363" s="20"/>
      <c r="W2363" s="20"/>
      <c r="X2363" s="20"/>
      <c r="Y2363" s="20"/>
    </row>
    <row r="2364" spans="1:25" x14ac:dyDescent="0.3">
      <c r="A2364" s="20"/>
      <c r="B2364" s="20"/>
      <c r="C2364" s="20"/>
      <c r="D2364" s="20"/>
      <c r="E2364" s="20"/>
      <c r="F2364" s="20"/>
      <c r="G2364" s="20"/>
      <c r="H2364" s="20"/>
      <c r="I2364" s="20"/>
      <c r="J2364" s="20"/>
      <c r="K2364" s="20"/>
      <c r="L2364" s="20"/>
      <c r="M2364" s="20"/>
      <c r="N2364" s="20"/>
      <c r="O2364" s="20"/>
      <c r="P2364" s="20"/>
      <c r="Q2364" s="20"/>
      <c r="R2364" s="20"/>
      <c r="S2364" s="20"/>
      <c r="T2364" s="20"/>
      <c r="U2364" s="20"/>
      <c r="V2364" s="20"/>
      <c r="W2364" s="20"/>
      <c r="X2364" s="20"/>
      <c r="Y2364" s="20"/>
    </row>
    <row r="2365" spans="1:25" x14ac:dyDescent="0.3">
      <c r="A2365" s="20"/>
      <c r="B2365" s="20"/>
      <c r="C2365" s="20"/>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row>
    <row r="2366" spans="1:25" x14ac:dyDescent="0.3">
      <c r="A2366" s="20"/>
      <c r="B2366" s="20"/>
      <c r="C2366" s="20"/>
      <c r="D2366" s="20"/>
      <c r="E2366" s="20"/>
      <c r="F2366" s="20"/>
      <c r="G2366" s="20"/>
      <c r="H2366" s="20"/>
      <c r="I2366" s="20"/>
      <c r="J2366" s="20"/>
      <c r="K2366" s="20"/>
      <c r="L2366" s="20"/>
      <c r="M2366" s="20"/>
      <c r="N2366" s="20"/>
      <c r="O2366" s="20"/>
      <c r="P2366" s="20"/>
      <c r="Q2366" s="20"/>
      <c r="R2366" s="20"/>
      <c r="S2366" s="20"/>
      <c r="T2366" s="20"/>
      <c r="U2366" s="20"/>
      <c r="V2366" s="20"/>
      <c r="W2366" s="20"/>
      <c r="X2366" s="20"/>
      <c r="Y2366" s="20"/>
    </row>
    <row r="2367" spans="1:25" x14ac:dyDescent="0.3">
      <c r="A2367" s="20"/>
      <c r="B2367" s="20"/>
      <c r="C2367" s="20"/>
      <c r="D2367" s="20"/>
      <c r="E2367" s="20"/>
      <c r="F2367" s="20"/>
      <c r="G2367" s="20"/>
      <c r="H2367" s="20"/>
      <c r="I2367" s="20"/>
      <c r="J2367" s="20"/>
      <c r="K2367" s="20"/>
      <c r="L2367" s="20"/>
      <c r="M2367" s="20"/>
      <c r="N2367" s="20"/>
      <c r="O2367" s="20"/>
      <c r="P2367" s="20"/>
      <c r="Q2367" s="20"/>
      <c r="R2367" s="20"/>
      <c r="S2367" s="20"/>
      <c r="T2367" s="20"/>
      <c r="U2367" s="20"/>
      <c r="V2367" s="20"/>
      <c r="W2367" s="20"/>
      <c r="X2367" s="20"/>
      <c r="Y2367" s="20"/>
    </row>
    <row r="2368" spans="1:25" x14ac:dyDescent="0.3">
      <c r="A2368" s="20"/>
      <c r="B2368" s="20"/>
      <c r="C2368" s="20"/>
      <c r="D2368" s="20"/>
      <c r="E2368" s="20"/>
      <c r="F2368" s="20"/>
      <c r="G2368" s="20"/>
      <c r="H2368" s="20"/>
      <c r="I2368" s="20"/>
      <c r="J2368" s="20"/>
      <c r="K2368" s="20"/>
      <c r="L2368" s="20"/>
      <c r="M2368" s="20"/>
      <c r="N2368" s="20"/>
      <c r="O2368" s="20"/>
      <c r="P2368" s="20"/>
      <c r="Q2368" s="20"/>
      <c r="R2368" s="20"/>
      <c r="S2368" s="20"/>
      <c r="T2368" s="20"/>
      <c r="U2368" s="20"/>
      <c r="V2368" s="20"/>
      <c r="W2368" s="20"/>
      <c r="X2368" s="20"/>
      <c r="Y2368" s="20"/>
    </row>
    <row r="2369" spans="1:25" x14ac:dyDescent="0.3">
      <c r="A2369" s="20"/>
      <c r="B2369" s="20"/>
      <c r="C2369" s="20"/>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row>
    <row r="2370" spans="1:25" x14ac:dyDescent="0.3">
      <c r="A2370" s="20"/>
      <c r="B2370" s="20"/>
      <c r="C2370" s="20"/>
      <c r="D2370" s="20"/>
      <c r="E2370" s="20"/>
      <c r="F2370" s="20"/>
      <c r="G2370" s="20"/>
      <c r="H2370" s="20"/>
      <c r="I2370" s="20"/>
      <c r="J2370" s="20"/>
      <c r="K2370" s="20"/>
      <c r="L2370" s="20"/>
      <c r="M2370" s="20"/>
      <c r="N2370" s="20"/>
      <c r="O2370" s="20"/>
      <c r="P2370" s="20"/>
      <c r="Q2370" s="20"/>
      <c r="R2370" s="20"/>
      <c r="S2370" s="20"/>
      <c r="T2370" s="20"/>
      <c r="U2370" s="20"/>
      <c r="V2370" s="20"/>
      <c r="W2370" s="20"/>
      <c r="X2370" s="20"/>
      <c r="Y2370" s="20"/>
    </row>
    <row r="2371" spans="1:25" x14ac:dyDescent="0.3">
      <c r="A2371" s="20"/>
      <c r="B2371" s="20"/>
      <c r="C2371" s="20"/>
      <c r="D2371" s="20"/>
      <c r="E2371" s="20"/>
      <c r="F2371" s="20"/>
      <c r="G2371" s="20"/>
      <c r="H2371" s="20"/>
      <c r="I2371" s="20"/>
      <c r="J2371" s="20"/>
      <c r="K2371" s="20"/>
      <c r="L2371" s="20"/>
      <c r="M2371" s="20"/>
      <c r="N2371" s="20"/>
      <c r="O2371" s="20"/>
      <c r="P2371" s="20"/>
      <c r="Q2371" s="20"/>
      <c r="R2371" s="20"/>
      <c r="S2371" s="20"/>
      <c r="T2371" s="20"/>
      <c r="U2371" s="20"/>
      <c r="V2371" s="20"/>
      <c r="W2371" s="20"/>
      <c r="X2371" s="20"/>
      <c r="Y2371" s="20"/>
    </row>
    <row r="2372" spans="1:25" x14ac:dyDescent="0.3">
      <c r="A2372" s="20"/>
      <c r="B2372" s="20"/>
      <c r="C2372" s="20"/>
      <c r="D2372" s="20"/>
      <c r="E2372" s="20"/>
      <c r="F2372" s="20"/>
      <c r="G2372" s="20"/>
      <c r="H2372" s="20"/>
      <c r="I2372" s="20"/>
      <c r="J2372" s="20"/>
      <c r="K2372" s="20"/>
      <c r="L2372" s="20"/>
      <c r="M2372" s="20"/>
      <c r="N2372" s="20"/>
      <c r="O2372" s="20"/>
      <c r="P2372" s="20"/>
      <c r="Q2372" s="20"/>
      <c r="R2372" s="20"/>
      <c r="S2372" s="20"/>
      <c r="T2372" s="20"/>
      <c r="U2372" s="20"/>
      <c r="V2372" s="20"/>
      <c r="W2372" s="20"/>
      <c r="X2372" s="20"/>
      <c r="Y2372" s="20"/>
    </row>
    <row r="2373" spans="1:25" x14ac:dyDescent="0.3">
      <c r="A2373" s="20"/>
      <c r="B2373" s="20"/>
      <c r="C2373" s="20"/>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row>
    <row r="2374" spans="1:25" x14ac:dyDescent="0.3">
      <c r="A2374" s="20"/>
      <c r="B2374" s="20"/>
      <c r="C2374" s="20"/>
      <c r="D2374" s="20"/>
      <c r="E2374" s="20"/>
      <c r="F2374" s="20"/>
      <c r="G2374" s="20"/>
      <c r="H2374" s="20"/>
      <c r="I2374" s="20"/>
      <c r="J2374" s="20"/>
      <c r="K2374" s="20"/>
      <c r="L2374" s="20"/>
      <c r="M2374" s="20"/>
      <c r="N2374" s="20"/>
      <c r="O2374" s="20"/>
      <c r="P2374" s="20"/>
      <c r="Q2374" s="20"/>
      <c r="R2374" s="20"/>
      <c r="S2374" s="20"/>
      <c r="T2374" s="20"/>
      <c r="U2374" s="20"/>
      <c r="V2374" s="20"/>
      <c r="W2374" s="20"/>
      <c r="X2374" s="20"/>
      <c r="Y2374" s="20"/>
    </row>
    <row r="2375" spans="1:25" x14ac:dyDescent="0.3">
      <c r="A2375" s="20"/>
      <c r="B2375" s="20"/>
      <c r="C2375" s="20"/>
      <c r="D2375" s="20"/>
      <c r="E2375" s="20"/>
      <c r="F2375" s="20"/>
      <c r="G2375" s="20"/>
      <c r="H2375" s="20"/>
      <c r="I2375" s="20"/>
      <c r="J2375" s="20"/>
      <c r="K2375" s="20"/>
      <c r="L2375" s="20"/>
      <c r="M2375" s="20"/>
      <c r="N2375" s="20"/>
      <c r="O2375" s="20"/>
      <c r="P2375" s="20"/>
      <c r="Q2375" s="20"/>
      <c r="R2375" s="20"/>
      <c r="S2375" s="20"/>
      <c r="T2375" s="20"/>
      <c r="U2375" s="20"/>
      <c r="V2375" s="20"/>
      <c r="W2375" s="20"/>
      <c r="X2375" s="20"/>
      <c r="Y2375" s="20"/>
    </row>
    <row r="2376" spans="1:25" x14ac:dyDescent="0.3">
      <c r="A2376" s="20"/>
      <c r="B2376" s="20"/>
      <c r="C2376" s="20"/>
      <c r="D2376" s="20"/>
      <c r="E2376" s="20"/>
      <c r="F2376" s="20"/>
      <c r="G2376" s="20"/>
      <c r="H2376" s="20"/>
      <c r="I2376" s="20"/>
      <c r="J2376" s="20"/>
      <c r="K2376" s="20"/>
      <c r="L2376" s="20"/>
      <c r="M2376" s="20"/>
      <c r="N2376" s="20"/>
      <c r="O2376" s="20"/>
      <c r="P2376" s="20"/>
      <c r="Q2376" s="20"/>
      <c r="R2376" s="20"/>
      <c r="S2376" s="20"/>
      <c r="T2376" s="20"/>
      <c r="U2376" s="20"/>
      <c r="V2376" s="20"/>
      <c r="W2376" s="20"/>
      <c r="X2376" s="20"/>
      <c r="Y2376" s="20"/>
    </row>
    <row r="2377" spans="1:25" x14ac:dyDescent="0.3">
      <c r="A2377" s="20"/>
      <c r="B2377" s="20"/>
      <c r="C2377" s="20"/>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row>
    <row r="2378" spans="1:25" x14ac:dyDescent="0.3">
      <c r="A2378" s="20"/>
      <c r="B2378" s="20"/>
      <c r="C2378" s="20"/>
      <c r="D2378" s="20"/>
      <c r="E2378" s="20"/>
      <c r="F2378" s="20"/>
      <c r="G2378" s="20"/>
      <c r="H2378" s="20"/>
      <c r="I2378" s="20"/>
      <c r="J2378" s="20"/>
      <c r="K2378" s="20"/>
      <c r="L2378" s="20"/>
      <c r="M2378" s="20"/>
      <c r="N2378" s="20"/>
      <c r="O2378" s="20"/>
      <c r="P2378" s="20"/>
      <c r="Q2378" s="20"/>
      <c r="R2378" s="20"/>
      <c r="S2378" s="20"/>
      <c r="T2378" s="20"/>
      <c r="U2378" s="20"/>
      <c r="V2378" s="20"/>
      <c r="W2378" s="20"/>
      <c r="X2378" s="20"/>
      <c r="Y2378" s="20"/>
    </row>
    <row r="2379" spans="1:25" x14ac:dyDescent="0.3">
      <c r="A2379" s="20"/>
      <c r="B2379" s="20"/>
      <c r="C2379" s="20"/>
      <c r="D2379" s="20"/>
      <c r="E2379" s="20"/>
      <c r="F2379" s="20"/>
      <c r="G2379" s="20"/>
      <c r="H2379" s="20"/>
      <c r="I2379" s="20"/>
      <c r="J2379" s="20"/>
      <c r="K2379" s="20"/>
      <c r="L2379" s="20"/>
      <c r="M2379" s="20"/>
      <c r="N2379" s="20"/>
      <c r="O2379" s="20"/>
      <c r="P2379" s="20"/>
      <c r="Q2379" s="20"/>
      <c r="R2379" s="20"/>
      <c r="S2379" s="20"/>
      <c r="T2379" s="20"/>
      <c r="U2379" s="20"/>
      <c r="V2379" s="20"/>
      <c r="W2379" s="20"/>
      <c r="X2379" s="20"/>
      <c r="Y2379" s="20"/>
    </row>
    <row r="2380" spans="1:25" x14ac:dyDescent="0.3">
      <c r="A2380" s="20"/>
      <c r="B2380" s="20"/>
      <c r="C2380" s="20"/>
      <c r="D2380" s="20"/>
      <c r="E2380" s="20"/>
      <c r="F2380" s="20"/>
      <c r="G2380" s="20"/>
      <c r="H2380" s="20"/>
      <c r="I2380" s="20"/>
      <c r="J2380" s="20"/>
      <c r="K2380" s="20"/>
      <c r="L2380" s="20"/>
      <c r="M2380" s="20"/>
      <c r="N2380" s="20"/>
      <c r="O2380" s="20"/>
      <c r="P2380" s="20"/>
      <c r="Q2380" s="20"/>
      <c r="R2380" s="20"/>
      <c r="S2380" s="20"/>
      <c r="T2380" s="20"/>
      <c r="U2380" s="20"/>
      <c r="V2380" s="20"/>
      <c r="W2380" s="20"/>
      <c r="X2380" s="20"/>
      <c r="Y2380" s="20"/>
    </row>
    <row r="2381" spans="1:25" x14ac:dyDescent="0.3">
      <c r="A2381" s="20"/>
      <c r="B2381" s="20"/>
      <c r="C2381" s="20"/>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row>
    <row r="2382" spans="1:25" x14ac:dyDescent="0.3">
      <c r="A2382" s="20"/>
      <c r="B2382" s="20"/>
      <c r="C2382" s="20"/>
      <c r="D2382" s="20"/>
      <c r="E2382" s="20"/>
      <c r="F2382" s="20"/>
      <c r="G2382" s="20"/>
      <c r="H2382" s="20"/>
      <c r="I2382" s="20"/>
      <c r="J2382" s="20"/>
      <c r="K2382" s="20"/>
      <c r="L2382" s="20"/>
      <c r="M2382" s="20"/>
      <c r="N2382" s="20"/>
      <c r="O2382" s="20"/>
      <c r="P2382" s="20"/>
      <c r="Q2382" s="20"/>
      <c r="R2382" s="20"/>
      <c r="S2382" s="20"/>
      <c r="T2382" s="20"/>
      <c r="U2382" s="20"/>
      <c r="V2382" s="20"/>
      <c r="W2382" s="20"/>
      <c r="X2382" s="20"/>
      <c r="Y2382" s="20"/>
    </row>
    <row r="2383" spans="1:25" x14ac:dyDescent="0.3">
      <c r="A2383" s="20"/>
      <c r="B2383" s="20"/>
      <c r="C2383" s="20"/>
      <c r="D2383" s="20"/>
      <c r="E2383" s="20"/>
      <c r="F2383" s="20"/>
      <c r="G2383" s="20"/>
      <c r="H2383" s="20"/>
      <c r="I2383" s="20"/>
      <c r="J2383" s="20"/>
      <c r="K2383" s="20"/>
      <c r="L2383" s="20"/>
      <c r="M2383" s="20"/>
      <c r="N2383" s="20"/>
      <c r="O2383" s="20"/>
      <c r="P2383" s="20"/>
      <c r="Q2383" s="20"/>
      <c r="R2383" s="20"/>
      <c r="S2383" s="20"/>
      <c r="T2383" s="20"/>
      <c r="U2383" s="20"/>
      <c r="V2383" s="20"/>
      <c r="W2383" s="20"/>
      <c r="X2383" s="20"/>
      <c r="Y2383" s="20"/>
    </row>
    <row r="2384" spans="1:25" x14ac:dyDescent="0.3">
      <c r="A2384" s="20"/>
      <c r="B2384" s="20"/>
      <c r="C2384" s="20"/>
      <c r="D2384" s="20"/>
      <c r="E2384" s="20"/>
      <c r="F2384" s="20"/>
      <c r="G2384" s="20"/>
      <c r="H2384" s="20"/>
      <c r="I2384" s="20"/>
      <c r="J2384" s="20"/>
      <c r="K2384" s="20"/>
      <c r="L2384" s="20"/>
      <c r="M2384" s="20"/>
      <c r="N2384" s="20"/>
      <c r="O2384" s="20"/>
      <c r="P2384" s="20"/>
      <c r="Q2384" s="20"/>
      <c r="R2384" s="20"/>
      <c r="S2384" s="20"/>
      <c r="T2384" s="20"/>
      <c r="U2384" s="20"/>
      <c r="V2384" s="20"/>
      <c r="W2384" s="20"/>
      <c r="X2384" s="20"/>
      <c r="Y2384" s="20"/>
    </row>
    <row r="2385" spans="1:25" x14ac:dyDescent="0.3">
      <c r="A2385" s="20"/>
      <c r="B2385" s="20"/>
      <c r="C2385" s="20"/>
      <c r="D2385" s="20"/>
      <c r="E2385" s="20"/>
      <c r="F2385" s="20"/>
      <c r="G2385" s="20"/>
      <c r="H2385" s="20"/>
      <c r="I2385" s="20"/>
      <c r="J2385" s="20"/>
      <c r="K2385" s="20"/>
      <c r="L2385" s="20"/>
      <c r="M2385" s="20"/>
      <c r="N2385" s="20"/>
      <c r="O2385" s="20"/>
      <c r="P2385" s="20"/>
      <c r="Q2385" s="20"/>
      <c r="R2385" s="20"/>
      <c r="S2385" s="20"/>
      <c r="T2385" s="20"/>
      <c r="U2385" s="20"/>
      <c r="V2385" s="20"/>
      <c r="W2385" s="20"/>
      <c r="X2385" s="20"/>
      <c r="Y2385" s="20"/>
    </row>
    <row r="2386" spans="1:25" x14ac:dyDescent="0.3">
      <c r="A2386" s="20"/>
      <c r="B2386" s="20"/>
      <c r="C2386" s="20"/>
      <c r="D2386" s="20"/>
      <c r="E2386" s="20"/>
      <c r="F2386" s="20"/>
      <c r="G2386" s="20"/>
      <c r="H2386" s="20"/>
      <c r="I2386" s="20"/>
      <c r="J2386" s="20"/>
      <c r="K2386" s="20"/>
      <c r="L2386" s="20"/>
      <c r="M2386" s="20"/>
      <c r="N2386" s="20"/>
      <c r="O2386" s="20"/>
      <c r="P2386" s="20"/>
      <c r="Q2386" s="20"/>
      <c r="R2386" s="20"/>
      <c r="S2386" s="20"/>
      <c r="T2386" s="20"/>
      <c r="U2386" s="20"/>
      <c r="V2386" s="20"/>
      <c r="W2386" s="20"/>
      <c r="X2386" s="20"/>
      <c r="Y2386" s="20"/>
    </row>
    <row r="2387" spans="1:25" x14ac:dyDescent="0.3">
      <c r="A2387" s="20"/>
      <c r="B2387" s="20"/>
      <c r="C2387" s="20"/>
      <c r="D2387" s="20"/>
      <c r="E2387" s="20"/>
      <c r="F2387" s="20"/>
      <c r="G2387" s="20"/>
      <c r="H2387" s="20"/>
      <c r="I2387" s="20"/>
      <c r="J2387" s="20"/>
      <c r="K2387" s="20"/>
      <c r="L2387" s="20"/>
      <c r="M2387" s="20"/>
      <c r="N2387" s="20"/>
      <c r="O2387" s="20"/>
      <c r="P2387" s="20"/>
      <c r="Q2387" s="20"/>
      <c r="R2387" s="20"/>
      <c r="S2387" s="20"/>
      <c r="T2387" s="20"/>
      <c r="U2387" s="20"/>
      <c r="V2387" s="20"/>
      <c r="W2387" s="20"/>
      <c r="X2387" s="20"/>
      <c r="Y2387" s="20"/>
    </row>
    <row r="2388" spans="1:25" x14ac:dyDescent="0.3">
      <c r="A2388" s="20"/>
      <c r="B2388" s="20"/>
      <c r="C2388" s="20"/>
      <c r="D2388" s="20"/>
      <c r="E2388" s="20"/>
      <c r="F2388" s="20"/>
      <c r="G2388" s="20"/>
      <c r="H2388" s="20"/>
      <c r="I2388" s="20"/>
      <c r="J2388" s="20"/>
      <c r="K2388" s="20"/>
      <c r="L2388" s="20"/>
      <c r="M2388" s="20"/>
      <c r="N2388" s="20"/>
      <c r="O2388" s="20"/>
      <c r="P2388" s="20"/>
      <c r="Q2388" s="20"/>
      <c r="R2388" s="20"/>
      <c r="S2388" s="20"/>
      <c r="T2388" s="20"/>
      <c r="U2388" s="20"/>
      <c r="V2388" s="20"/>
      <c r="W2388" s="20"/>
      <c r="X2388" s="20"/>
      <c r="Y2388" s="20"/>
    </row>
    <row r="2389" spans="1:25" x14ac:dyDescent="0.3">
      <c r="A2389" s="20"/>
      <c r="B2389" s="20"/>
      <c r="C2389" s="20"/>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row>
    <row r="2390" spans="1:25" x14ac:dyDescent="0.3">
      <c r="A2390" s="20"/>
      <c r="B2390" s="20"/>
      <c r="C2390" s="20"/>
      <c r="D2390" s="20"/>
      <c r="E2390" s="20"/>
      <c r="F2390" s="20"/>
      <c r="G2390" s="20"/>
      <c r="H2390" s="20"/>
      <c r="I2390" s="20"/>
      <c r="J2390" s="20"/>
      <c r="K2390" s="20"/>
      <c r="L2390" s="20"/>
      <c r="M2390" s="20"/>
      <c r="N2390" s="20"/>
      <c r="O2390" s="20"/>
      <c r="P2390" s="20"/>
      <c r="Q2390" s="20"/>
      <c r="R2390" s="20"/>
      <c r="S2390" s="20"/>
      <c r="T2390" s="20"/>
      <c r="U2390" s="20"/>
      <c r="V2390" s="20"/>
      <c r="W2390" s="20"/>
      <c r="X2390" s="20"/>
      <c r="Y2390" s="20"/>
    </row>
    <row r="2391" spans="1:25" x14ac:dyDescent="0.3">
      <c r="A2391" s="20"/>
      <c r="B2391" s="20"/>
      <c r="C2391" s="20"/>
      <c r="D2391" s="20"/>
      <c r="E2391" s="20"/>
      <c r="F2391" s="20"/>
      <c r="G2391" s="20"/>
      <c r="H2391" s="20"/>
      <c r="I2391" s="20"/>
      <c r="J2391" s="20"/>
      <c r="K2391" s="20"/>
      <c r="L2391" s="20"/>
      <c r="M2391" s="20"/>
      <c r="N2391" s="20"/>
      <c r="O2391" s="20"/>
      <c r="P2391" s="20"/>
      <c r="Q2391" s="20"/>
      <c r="R2391" s="20"/>
      <c r="S2391" s="20"/>
      <c r="T2391" s="20"/>
      <c r="U2391" s="20"/>
      <c r="V2391" s="20"/>
      <c r="W2391" s="20"/>
      <c r="X2391" s="20"/>
      <c r="Y2391" s="20"/>
    </row>
    <row r="2392" spans="1:25" x14ac:dyDescent="0.3">
      <c r="A2392" s="20"/>
      <c r="B2392" s="20"/>
      <c r="C2392" s="20"/>
      <c r="D2392" s="20"/>
      <c r="E2392" s="20"/>
      <c r="F2392" s="20"/>
      <c r="G2392" s="20"/>
      <c r="H2392" s="20"/>
      <c r="I2392" s="20"/>
      <c r="J2392" s="20"/>
      <c r="K2392" s="20"/>
      <c r="L2392" s="20"/>
      <c r="M2392" s="20"/>
      <c r="N2392" s="20"/>
      <c r="O2392" s="20"/>
      <c r="P2392" s="20"/>
      <c r="Q2392" s="20"/>
      <c r="R2392" s="20"/>
      <c r="S2392" s="20"/>
      <c r="T2392" s="20"/>
      <c r="U2392" s="20"/>
      <c r="V2392" s="20"/>
      <c r="W2392" s="20"/>
      <c r="X2392" s="20"/>
      <c r="Y2392" s="20"/>
    </row>
    <row r="2393" spans="1:25" x14ac:dyDescent="0.3">
      <c r="A2393" s="20"/>
      <c r="B2393" s="20"/>
      <c r="C2393" s="20"/>
      <c r="D2393" s="20"/>
      <c r="E2393" s="20"/>
      <c r="F2393" s="20"/>
      <c r="G2393" s="20"/>
      <c r="H2393" s="20"/>
      <c r="I2393" s="20"/>
      <c r="J2393" s="20"/>
      <c r="K2393" s="20"/>
      <c r="L2393" s="20"/>
      <c r="M2393" s="20"/>
      <c r="N2393" s="20"/>
      <c r="O2393" s="20"/>
      <c r="P2393" s="20"/>
      <c r="Q2393" s="20"/>
      <c r="R2393" s="20"/>
      <c r="S2393" s="20"/>
      <c r="T2393" s="20"/>
      <c r="U2393" s="20"/>
      <c r="V2393" s="20"/>
      <c r="W2393" s="20"/>
      <c r="X2393" s="20"/>
      <c r="Y2393" s="20"/>
    </row>
    <row r="2394" spans="1:25" x14ac:dyDescent="0.3">
      <c r="A2394" s="20"/>
      <c r="B2394" s="20"/>
      <c r="C2394" s="20"/>
      <c r="D2394" s="20"/>
      <c r="E2394" s="20"/>
      <c r="F2394" s="20"/>
      <c r="G2394" s="20"/>
      <c r="H2394" s="20"/>
      <c r="I2394" s="20"/>
      <c r="J2394" s="20"/>
      <c r="K2394" s="20"/>
      <c r="L2394" s="20"/>
      <c r="M2394" s="20"/>
      <c r="N2394" s="20"/>
      <c r="O2394" s="20"/>
      <c r="P2394" s="20"/>
      <c r="Q2394" s="20"/>
      <c r="R2394" s="20"/>
      <c r="S2394" s="20"/>
      <c r="T2394" s="20"/>
      <c r="U2394" s="20"/>
      <c r="V2394" s="20"/>
      <c r="W2394" s="20"/>
      <c r="X2394" s="20"/>
      <c r="Y2394" s="20"/>
    </row>
    <row r="2395" spans="1:25" x14ac:dyDescent="0.3">
      <c r="A2395" s="20"/>
      <c r="B2395" s="20"/>
      <c r="C2395" s="20"/>
      <c r="D2395" s="20"/>
      <c r="E2395" s="20"/>
      <c r="F2395" s="20"/>
      <c r="G2395" s="20"/>
      <c r="H2395" s="20"/>
      <c r="I2395" s="20"/>
      <c r="J2395" s="20"/>
      <c r="K2395" s="20"/>
      <c r="L2395" s="20"/>
      <c r="M2395" s="20"/>
      <c r="N2395" s="20"/>
      <c r="O2395" s="20"/>
      <c r="P2395" s="20"/>
      <c r="Q2395" s="20"/>
      <c r="R2395" s="20"/>
      <c r="S2395" s="20"/>
      <c r="T2395" s="20"/>
      <c r="U2395" s="20"/>
      <c r="V2395" s="20"/>
      <c r="W2395" s="20"/>
      <c r="X2395" s="20"/>
      <c r="Y2395" s="20"/>
    </row>
    <row r="2396" spans="1:25" x14ac:dyDescent="0.3">
      <c r="A2396" s="20"/>
      <c r="B2396" s="20"/>
      <c r="C2396" s="20"/>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row>
    <row r="2397" spans="1:25" x14ac:dyDescent="0.3">
      <c r="A2397" s="20"/>
      <c r="B2397" s="20"/>
      <c r="C2397" s="20"/>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row>
    <row r="2398" spans="1:25" x14ac:dyDescent="0.3">
      <c r="A2398" s="20"/>
      <c r="B2398" s="20"/>
      <c r="C2398" s="20"/>
      <c r="D2398" s="20"/>
      <c r="E2398" s="20"/>
      <c r="F2398" s="20"/>
      <c r="G2398" s="20"/>
      <c r="H2398" s="20"/>
      <c r="I2398" s="20"/>
      <c r="J2398" s="20"/>
      <c r="K2398" s="20"/>
      <c r="L2398" s="20"/>
      <c r="M2398" s="20"/>
      <c r="N2398" s="20"/>
      <c r="O2398" s="20"/>
      <c r="P2398" s="20"/>
      <c r="Q2398" s="20"/>
      <c r="R2398" s="20"/>
      <c r="S2398" s="20"/>
      <c r="T2398" s="20"/>
      <c r="U2398" s="20"/>
      <c r="V2398" s="20"/>
      <c r="W2398" s="20"/>
      <c r="X2398" s="20"/>
      <c r="Y2398" s="20"/>
    </row>
    <row r="2399" spans="1:25" x14ac:dyDescent="0.3">
      <c r="A2399" s="20"/>
      <c r="B2399" s="20"/>
      <c r="C2399" s="20"/>
      <c r="D2399" s="20"/>
      <c r="E2399" s="20"/>
      <c r="F2399" s="20"/>
      <c r="G2399" s="20"/>
      <c r="H2399" s="20"/>
      <c r="I2399" s="20"/>
      <c r="J2399" s="20"/>
      <c r="K2399" s="20"/>
      <c r="L2399" s="20"/>
      <c r="M2399" s="20"/>
      <c r="N2399" s="20"/>
      <c r="O2399" s="20"/>
      <c r="P2399" s="20"/>
      <c r="Q2399" s="20"/>
      <c r="R2399" s="20"/>
      <c r="S2399" s="20"/>
      <c r="T2399" s="20"/>
      <c r="U2399" s="20"/>
      <c r="V2399" s="20"/>
      <c r="W2399" s="20"/>
      <c r="X2399" s="20"/>
      <c r="Y2399" s="20"/>
    </row>
    <row r="2400" spans="1:25" x14ac:dyDescent="0.3">
      <c r="A2400" s="20"/>
      <c r="B2400" s="20"/>
      <c r="C2400" s="20"/>
      <c r="D2400" s="20"/>
      <c r="E2400" s="20"/>
      <c r="F2400" s="20"/>
      <c r="G2400" s="20"/>
      <c r="H2400" s="20"/>
      <c r="I2400" s="20"/>
      <c r="J2400" s="20"/>
      <c r="K2400" s="20"/>
      <c r="L2400" s="20"/>
      <c r="M2400" s="20"/>
      <c r="N2400" s="20"/>
      <c r="O2400" s="20"/>
      <c r="P2400" s="20"/>
      <c r="Q2400" s="20"/>
      <c r="R2400" s="20"/>
      <c r="S2400" s="20"/>
      <c r="T2400" s="20"/>
      <c r="U2400" s="20"/>
      <c r="V2400" s="20"/>
      <c r="W2400" s="20"/>
      <c r="X2400" s="20"/>
      <c r="Y2400" s="20"/>
    </row>
    <row r="2401" spans="1:25" x14ac:dyDescent="0.3">
      <c r="A2401" s="20"/>
      <c r="B2401" s="20"/>
      <c r="C2401" s="20"/>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row>
    <row r="2402" spans="1:25" x14ac:dyDescent="0.3">
      <c r="A2402" s="20"/>
      <c r="B2402" s="20"/>
      <c r="C2402" s="20"/>
      <c r="D2402" s="20"/>
      <c r="E2402" s="20"/>
      <c r="F2402" s="20"/>
      <c r="G2402" s="20"/>
      <c r="H2402" s="20"/>
      <c r="I2402" s="20"/>
      <c r="J2402" s="20"/>
      <c r="K2402" s="20"/>
      <c r="L2402" s="20"/>
      <c r="M2402" s="20"/>
      <c r="N2402" s="20"/>
      <c r="O2402" s="20"/>
      <c r="P2402" s="20"/>
      <c r="Q2402" s="20"/>
      <c r="R2402" s="20"/>
      <c r="S2402" s="20"/>
      <c r="T2402" s="20"/>
      <c r="U2402" s="20"/>
      <c r="V2402" s="20"/>
      <c r="W2402" s="20"/>
      <c r="X2402" s="20"/>
      <c r="Y2402" s="20"/>
    </row>
    <row r="2403" spans="1:25" x14ac:dyDescent="0.3">
      <c r="A2403" s="20"/>
      <c r="B2403" s="20"/>
      <c r="C2403" s="20"/>
      <c r="D2403" s="20"/>
      <c r="E2403" s="20"/>
      <c r="F2403" s="20"/>
      <c r="G2403" s="20"/>
      <c r="H2403" s="20"/>
      <c r="I2403" s="20"/>
      <c r="J2403" s="20"/>
      <c r="K2403" s="20"/>
      <c r="L2403" s="20"/>
      <c r="M2403" s="20"/>
      <c r="N2403" s="20"/>
      <c r="O2403" s="20"/>
      <c r="P2403" s="20"/>
      <c r="Q2403" s="20"/>
      <c r="R2403" s="20"/>
      <c r="S2403" s="20"/>
      <c r="T2403" s="20"/>
      <c r="U2403" s="20"/>
      <c r="V2403" s="20"/>
      <c r="W2403" s="20"/>
      <c r="X2403" s="20"/>
      <c r="Y2403" s="20"/>
    </row>
    <row r="2404" spans="1:25" x14ac:dyDescent="0.3">
      <c r="A2404" s="20"/>
      <c r="B2404" s="20"/>
      <c r="C2404" s="20"/>
      <c r="D2404" s="20"/>
      <c r="E2404" s="20"/>
      <c r="F2404" s="20"/>
      <c r="G2404" s="20"/>
      <c r="H2404" s="20"/>
      <c r="I2404" s="20"/>
      <c r="J2404" s="20"/>
      <c r="K2404" s="20"/>
      <c r="L2404" s="20"/>
      <c r="M2404" s="20"/>
      <c r="N2404" s="20"/>
      <c r="O2404" s="20"/>
      <c r="P2404" s="20"/>
      <c r="Q2404" s="20"/>
      <c r="R2404" s="20"/>
      <c r="S2404" s="20"/>
      <c r="T2404" s="20"/>
      <c r="U2404" s="20"/>
      <c r="V2404" s="20"/>
      <c r="W2404" s="20"/>
      <c r="X2404" s="20"/>
      <c r="Y2404" s="20"/>
    </row>
    <row r="2405" spans="1:25" x14ac:dyDescent="0.3">
      <c r="A2405" s="20"/>
      <c r="B2405" s="20"/>
      <c r="C2405" s="20"/>
      <c r="D2405" s="20"/>
      <c r="E2405" s="20"/>
      <c r="F2405" s="20"/>
      <c r="G2405" s="20"/>
      <c r="H2405" s="20"/>
      <c r="I2405" s="20"/>
      <c r="J2405" s="20"/>
      <c r="K2405" s="20"/>
      <c r="L2405" s="20"/>
      <c r="M2405" s="20"/>
      <c r="N2405" s="20"/>
      <c r="O2405" s="20"/>
      <c r="P2405" s="20"/>
      <c r="Q2405" s="20"/>
      <c r="R2405" s="20"/>
      <c r="S2405" s="20"/>
      <c r="T2405" s="20"/>
      <c r="U2405" s="20"/>
      <c r="V2405" s="20"/>
      <c r="W2405" s="20"/>
      <c r="X2405" s="20"/>
      <c r="Y2405" s="20"/>
    </row>
    <row r="2406" spans="1:25" x14ac:dyDescent="0.3">
      <c r="A2406" s="20"/>
      <c r="B2406" s="20"/>
      <c r="C2406" s="20"/>
      <c r="D2406" s="20"/>
      <c r="E2406" s="20"/>
      <c r="F2406" s="20"/>
      <c r="G2406" s="20"/>
      <c r="H2406" s="20"/>
      <c r="I2406" s="20"/>
      <c r="J2406" s="20"/>
      <c r="K2406" s="20"/>
      <c r="L2406" s="20"/>
      <c r="M2406" s="20"/>
      <c r="N2406" s="20"/>
      <c r="O2406" s="20"/>
      <c r="P2406" s="20"/>
      <c r="Q2406" s="20"/>
      <c r="R2406" s="20"/>
      <c r="S2406" s="20"/>
      <c r="T2406" s="20"/>
      <c r="U2406" s="20"/>
      <c r="V2406" s="20"/>
      <c r="W2406" s="20"/>
      <c r="X2406" s="20"/>
      <c r="Y2406" s="20"/>
    </row>
    <row r="2407" spans="1:25" x14ac:dyDescent="0.3">
      <c r="A2407" s="20"/>
      <c r="B2407" s="20"/>
      <c r="C2407" s="20"/>
      <c r="D2407" s="20"/>
      <c r="E2407" s="20"/>
      <c r="F2407" s="20"/>
      <c r="G2407" s="20"/>
      <c r="H2407" s="20"/>
      <c r="I2407" s="20"/>
      <c r="J2407" s="20"/>
      <c r="K2407" s="20"/>
      <c r="L2407" s="20"/>
      <c r="M2407" s="20"/>
      <c r="N2407" s="20"/>
      <c r="O2407" s="20"/>
      <c r="P2407" s="20"/>
      <c r="Q2407" s="20"/>
      <c r="R2407" s="20"/>
      <c r="S2407" s="20"/>
      <c r="T2407" s="20"/>
      <c r="U2407" s="20"/>
      <c r="V2407" s="20"/>
      <c r="W2407" s="20"/>
      <c r="X2407" s="20"/>
      <c r="Y2407" s="20"/>
    </row>
    <row r="2408" spans="1:25" x14ac:dyDescent="0.3">
      <c r="A2408" s="20"/>
      <c r="B2408" s="20"/>
      <c r="C2408" s="20"/>
      <c r="D2408" s="20"/>
      <c r="E2408" s="20"/>
      <c r="F2408" s="20"/>
      <c r="G2408" s="20"/>
      <c r="H2408" s="20"/>
      <c r="I2408" s="20"/>
      <c r="J2408" s="20"/>
      <c r="K2408" s="20"/>
      <c r="L2408" s="20"/>
      <c r="M2408" s="20"/>
      <c r="N2408" s="20"/>
      <c r="O2408" s="20"/>
      <c r="P2408" s="20"/>
      <c r="Q2408" s="20"/>
      <c r="R2408" s="20"/>
      <c r="S2408" s="20"/>
      <c r="T2408" s="20"/>
      <c r="U2408" s="20"/>
      <c r="V2408" s="20"/>
      <c r="W2408" s="20"/>
      <c r="X2408" s="20"/>
      <c r="Y2408" s="20"/>
    </row>
    <row r="2409" spans="1:25" x14ac:dyDescent="0.3">
      <c r="A2409" s="20"/>
      <c r="B2409" s="20"/>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row>
    <row r="2410" spans="1:25" x14ac:dyDescent="0.3">
      <c r="A2410" s="20"/>
      <c r="B2410" s="20"/>
      <c r="C2410" s="20"/>
      <c r="D2410" s="20"/>
      <c r="E2410" s="20"/>
      <c r="F2410" s="20"/>
      <c r="G2410" s="20"/>
      <c r="H2410" s="20"/>
      <c r="I2410" s="20"/>
      <c r="J2410" s="20"/>
      <c r="K2410" s="20"/>
      <c r="L2410" s="20"/>
      <c r="M2410" s="20"/>
      <c r="N2410" s="20"/>
      <c r="O2410" s="20"/>
      <c r="P2410" s="20"/>
      <c r="Q2410" s="20"/>
      <c r="R2410" s="20"/>
      <c r="S2410" s="20"/>
      <c r="T2410" s="20"/>
      <c r="U2410" s="20"/>
      <c r="V2410" s="20"/>
      <c r="W2410" s="20"/>
      <c r="X2410" s="20"/>
      <c r="Y2410" s="20"/>
    </row>
    <row r="2411" spans="1:25" x14ac:dyDescent="0.3">
      <c r="A2411" s="20"/>
      <c r="B2411" s="20"/>
      <c r="C2411" s="20"/>
      <c r="D2411" s="20"/>
      <c r="E2411" s="20"/>
      <c r="F2411" s="20"/>
      <c r="G2411" s="20"/>
      <c r="H2411" s="20"/>
      <c r="I2411" s="20"/>
      <c r="J2411" s="20"/>
      <c r="K2411" s="20"/>
      <c r="L2411" s="20"/>
      <c r="M2411" s="20"/>
      <c r="N2411" s="20"/>
      <c r="O2411" s="20"/>
      <c r="P2411" s="20"/>
      <c r="Q2411" s="20"/>
      <c r="R2411" s="20"/>
      <c r="S2411" s="20"/>
      <c r="T2411" s="20"/>
      <c r="U2411" s="20"/>
      <c r="V2411" s="20"/>
      <c r="W2411" s="20"/>
      <c r="X2411" s="20"/>
      <c r="Y2411" s="20"/>
    </row>
    <row r="2412" spans="1:25" x14ac:dyDescent="0.3">
      <c r="A2412" s="20"/>
      <c r="B2412" s="20"/>
      <c r="C2412" s="20"/>
      <c r="D2412" s="20"/>
      <c r="E2412" s="20"/>
      <c r="F2412" s="20"/>
      <c r="G2412" s="20"/>
      <c r="H2412" s="20"/>
      <c r="I2412" s="20"/>
      <c r="J2412" s="20"/>
      <c r="K2412" s="20"/>
      <c r="L2412" s="20"/>
      <c r="M2412" s="20"/>
      <c r="N2412" s="20"/>
      <c r="O2412" s="20"/>
      <c r="P2412" s="20"/>
      <c r="Q2412" s="20"/>
      <c r="R2412" s="20"/>
      <c r="S2412" s="20"/>
      <c r="T2412" s="20"/>
      <c r="U2412" s="20"/>
      <c r="V2412" s="20"/>
      <c r="W2412" s="20"/>
      <c r="X2412" s="20"/>
      <c r="Y2412" s="20"/>
    </row>
    <row r="2413" spans="1:25" x14ac:dyDescent="0.3">
      <c r="A2413" s="20"/>
      <c r="B2413" s="20"/>
      <c r="C2413" s="20"/>
      <c r="D2413" s="20"/>
      <c r="E2413" s="20"/>
      <c r="F2413" s="20"/>
      <c r="G2413" s="20"/>
      <c r="H2413" s="20"/>
      <c r="I2413" s="20"/>
      <c r="J2413" s="20"/>
      <c r="K2413" s="20"/>
      <c r="L2413" s="20"/>
      <c r="M2413" s="20"/>
      <c r="N2413" s="20"/>
      <c r="O2413" s="20"/>
      <c r="P2413" s="20"/>
      <c r="Q2413" s="20"/>
      <c r="R2413" s="20"/>
      <c r="S2413" s="20"/>
      <c r="T2413" s="20"/>
      <c r="U2413" s="20"/>
      <c r="V2413" s="20"/>
      <c r="W2413" s="20"/>
      <c r="X2413" s="20"/>
      <c r="Y2413" s="20"/>
    </row>
    <row r="2414" spans="1:25" x14ac:dyDescent="0.3">
      <c r="A2414" s="20"/>
      <c r="B2414" s="20"/>
      <c r="C2414" s="20"/>
      <c r="D2414" s="20"/>
      <c r="E2414" s="20"/>
      <c r="F2414" s="20"/>
      <c r="G2414" s="20"/>
      <c r="H2414" s="20"/>
      <c r="I2414" s="20"/>
      <c r="J2414" s="20"/>
      <c r="K2414" s="20"/>
      <c r="L2414" s="20"/>
      <c r="M2414" s="20"/>
      <c r="N2414" s="20"/>
      <c r="O2414" s="20"/>
      <c r="P2414" s="20"/>
      <c r="Q2414" s="20"/>
      <c r="R2414" s="20"/>
      <c r="S2414" s="20"/>
      <c r="T2414" s="20"/>
      <c r="U2414" s="20"/>
      <c r="V2414" s="20"/>
      <c r="W2414" s="20"/>
      <c r="X2414" s="20"/>
      <c r="Y2414" s="20"/>
    </row>
    <row r="2415" spans="1:25" x14ac:dyDescent="0.3">
      <c r="A2415" s="20"/>
      <c r="B2415" s="20"/>
      <c r="C2415" s="20"/>
      <c r="D2415" s="20"/>
      <c r="E2415" s="20"/>
      <c r="F2415" s="20"/>
      <c r="G2415" s="20"/>
      <c r="H2415" s="20"/>
      <c r="I2415" s="20"/>
      <c r="J2415" s="20"/>
      <c r="K2415" s="20"/>
      <c r="L2415" s="20"/>
      <c r="M2415" s="20"/>
      <c r="N2415" s="20"/>
      <c r="O2415" s="20"/>
      <c r="P2415" s="20"/>
      <c r="Q2415" s="20"/>
      <c r="R2415" s="20"/>
      <c r="S2415" s="20"/>
      <c r="T2415" s="20"/>
      <c r="U2415" s="20"/>
      <c r="V2415" s="20"/>
      <c r="W2415" s="20"/>
      <c r="X2415" s="20"/>
      <c r="Y2415" s="20"/>
    </row>
    <row r="2416" spans="1:25" x14ac:dyDescent="0.3">
      <c r="A2416" s="20"/>
      <c r="B2416" s="20"/>
      <c r="C2416" s="20"/>
      <c r="D2416" s="20"/>
      <c r="E2416" s="20"/>
      <c r="F2416" s="20"/>
      <c r="G2416" s="20"/>
      <c r="H2416" s="20"/>
      <c r="I2416" s="20"/>
      <c r="J2416" s="20"/>
      <c r="K2416" s="20"/>
      <c r="L2416" s="20"/>
      <c r="M2416" s="20"/>
      <c r="N2416" s="20"/>
      <c r="O2416" s="20"/>
      <c r="P2416" s="20"/>
      <c r="Q2416" s="20"/>
      <c r="R2416" s="20"/>
      <c r="S2416" s="20"/>
      <c r="T2416" s="20"/>
      <c r="U2416" s="20"/>
      <c r="V2416" s="20"/>
      <c r="W2416" s="20"/>
      <c r="X2416" s="20"/>
      <c r="Y2416" s="20"/>
    </row>
    <row r="2417" spans="1:25" x14ac:dyDescent="0.3">
      <c r="A2417" s="20"/>
      <c r="B2417" s="20"/>
      <c r="C2417" s="20"/>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row>
    <row r="2418" spans="1:25" x14ac:dyDescent="0.3">
      <c r="A2418" s="20"/>
      <c r="B2418" s="20"/>
      <c r="C2418" s="20"/>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row>
    <row r="2419" spans="1:25" x14ac:dyDescent="0.3">
      <c r="A2419" s="20"/>
      <c r="B2419" s="20"/>
      <c r="C2419" s="20"/>
      <c r="D2419" s="20"/>
      <c r="E2419" s="20"/>
      <c r="F2419" s="20"/>
      <c r="G2419" s="20"/>
      <c r="H2419" s="20"/>
      <c r="I2419" s="20"/>
      <c r="J2419" s="20"/>
      <c r="K2419" s="20"/>
      <c r="L2419" s="20"/>
      <c r="M2419" s="20"/>
      <c r="N2419" s="20"/>
      <c r="O2419" s="20"/>
      <c r="P2419" s="20"/>
      <c r="Q2419" s="20"/>
      <c r="R2419" s="20"/>
      <c r="S2419" s="20"/>
      <c r="T2419" s="20"/>
      <c r="U2419" s="20"/>
      <c r="V2419" s="20"/>
      <c r="W2419" s="20"/>
      <c r="X2419" s="20"/>
      <c r="Y2419" s="20"/>
    </row>
    <row r="2420" spans="1:25" x14ac:dyDescent="0.3">
      <c r="A2420" s="20"/>
      <c r="B2420" s="20"/>
      <c r="C2420" s="20"/>
      <c r="D2420" s="20"/>
      <c r="E2420" s="20"/>
      <c r="F2420" s="20"/>
      <c r="G2420" s="20"/>
      <c r="H2420" s="20"/>
      <c r="I2420" s="20"/>
      <c r="J2420" s="20"/>
      <c r="K2420" s="20"/>
      <c r="L2420" s="20"/>
      <c r="M2420" s="20"/>
      <c r="N2420" s="20"/>
      <c r="O2420" s="20"/>
      <c r="P2420" s="20"/>
      <c r="Q2420" s="20"/>
      <c r="R2420" s="20"/>
      <c r="S2420" s="20"/>
      <c r="T2420" s="20"/>
      <c r="U2420" s="20"/>
      <c r="V2420" s="20"/>
      <c r="W2420" s="20"/>
      <c r="X2420" s="20"/>
      <c r="Y2420" s="20"/>
    </row>
    <row r="2421" spans="1:25" x14ac:dyDescent="0.3">
      <c r="A2421" s="20"/>
      <c r="B2421" s="20"/>
      <c r="C2421" s="20"/>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row>
    <row r="2422" spans="1:25" x14ac:dyDescent="0.3">
      <c r="A2422" s="20"/>
      <c r="B2422" s="20"/>
      <c r="C2422" s="20"/>
      <c r="D2422" s="20"/>
      <c r="E2422" s="20"/>
      <c r="F2422" s="20"/>
      <c r="G2422" s="20"/>
      <c r="H2422" s="20"/>
      <c r="I2422" s="20"/>
      <c r="J2422" s="20"/>
      <c r="K2422" s="20"/>
      <c r="L2422" s="20"/>
      <c r="M2422" s="20"/>
      <c r="N2422" s="20"/>
      <c r="O2422" s="20"/>
      <c r="P2422" s="20"/>
      <c r="Q2422" s="20"/>
      <c r="R2422" s="20"/>
      <c r="S2422" s="20"/>
      <c r="T2422" s="20"/>
      <c r="U2422" s="20"/>
      <c r="V2422" s="20"/>
      <c r="W2422" s="20"/>
      <c r="X2422" s="20"/>
      <c r="Y2422" s="20"/>
    </row>
    <row r="2423" spans="1:25" x14ac:dyDescent="0.3">
      <c r="A2423" s="20"/>
      <c r="B2423" s="20"/>
      <c r="C2423" s="20"/>
      <c r="D2423" s="20"/>
      <c r="E2423" s="20"/>
      <c r="F2423" s="20"/>
      <c r="G2423" s="20"/>
      <c r="H2423" s="20"/>
      <c r="I2423" s="20"/>
      <c r="J2423" s="20"/>
      <c r="K2423" s="20"/>
      <c r="L2423" s="20"/>
      <c r="M2423" s="20"/>
      <c r="N2423" s="20"/>
      <c r="O2423" s="20"/>
      <c r="P2423" s="20"/>
      <c r="Q2423" s="20"/>
      <c r="R2423" s="20"/>
      <c r="S2423" s="20"/>
      <c r="T2423" s="20"/>
      <c r="U2423" s="20"/>
      <c r="V2423" s="20"/>
      <c r="W2423" s="20"/>
      <c r="X2423" s="20"/>
      <c r="Y2423" s="20"/>
    </row>
    <row r="2424" spans="1:25" x14ac:dyDescent="0.3">
      <c r="A2424" s="20"/>
      <c r="B2424" s="20"/>
      <c r="C2424" s="20"/>
      <c r="D2424" s="20"/>
      <c r="E2424" s="20"/>
      <c r="F2424" s="20"/>
      <c r="G2424" s="20"/>
      <c r="H2424" s="20"/>
      <c r="I2424" s="20"/>
      <c r="J2424" s="20"/>
      <c r="K2424" s="20"/>
      <c r="L2424" s="20"/>
      <c r="M2424" s="20"/>
      <c r="N2424" s="20"/>
      <c r="O2424" s="20"/>
      <c r="P2424" s="20"/>
      <c r="Q2424" s="20"/>
      <c r="R2424" s="20"/>
      <c r="S2424" s="20"/>
      <c r="T2424" s="20"/>
      <c r="U2424" s="20"/>
      <c r="V2424" s="20"/>
      <c r="W2424" s="20"/>
      <c r="X2424" s="20"/>
      <c r="Y2424" s="20"/>
    </row>
    <row r="2425" spans="1:25" x14ac:dyDescent="0.3">
      <c r="A2425" s="20"/>
      <c r="B2425" s="20"/>
      <c r="C2425" s="20"/>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row>
    <row r="2426" spans="1:25" x14ac:dyDescent="0.3">
      <c r="A2426" s="20"/>
      <c r="B2426" s="20"/>
      <c r="C2426" s="20"/>
      <c r="D2426" s="20"/>
      <c r="E2426" s="20"/>
      <c r="F2426" s="20"/>
      <c r="G2426" s="20"/>
      <c r="H2426" s="20"/>
      <c r="I2426" s="20"/>
      <c r="J2426" s="20"/>
      <c r="K2426" s="20"/>
      <c r="L2426" s="20"/>
      <c r="M2426" s="20"/>
      <c r="N2426" s="20"/>
      <c r="O2426" s="20"/>
      <c r="P2426" s="20"/>
      <c r="Q2426" s="20"/>
      <c r="R2426" s="20"/>
      <c r="S2426" s="20"/>
      <c r="T2426" s="20"/>
      <c r="U2426" s="20"/>
      <c r="V2426" s="20"/>
      <c r="W2426" s="20"/>
      <c r="X2426" s="20"/>
      <c r="Y2426" s="20"/>
    </row>
    <row r="2427" spans="1:25" x14ac:dyDescent="0.3">
      <c r="A2427" s="20"/>
      <c r="B2427" s="20"/>
      <c r="C2427" s="20"/>
      <c r="D2427" s="20"/>
      <c r="E2427" s="20"/>
      <c r="F2427" s="20"/>
      <c r="G2427" s="20"/>
      <c r="H2427" s="20"/>
      <c r="I2427" s="20"/>
      <c r="J2427" s="20"/>
      <c r="K2427" s="20"/>
      <c r="L2427" s="20"/>
      <c r="M2427" s="20"/>
      <c r="N2427" s="20"/>
      <c r="O2427" s="20"/>
      <c r="P2427" s="20"/>
      <c r="Q2427" s="20"/>
      <c r="R2427" s="20"/>
      <c r="S2427" s="20"/>
      <c r="T2427" s="20"/>
      <c r="U2427" s="20"/>
      <c r="V2427" s="20"/>
      <c r="W2427" s="20"/>
      <c r="X2427" s="20"/>
      <c r="Y2427" s="20"/>
    </row>
    <row r="2428" spans="1:25" x14ac:dyDescent="0.3">
      <c r="A2428" s="20"/>
      <c r="B2428" s="20"/>
      <c r="C2428" s="20"/>
      <c r="D2428" s="20"/>
      <c r="E2428" s="20"/>
      <c r="F2428" s="20"/>
      <c r="G2428" s="20"/>
      <c r="H2428" s="20"/>
      <c r="I2428" s="20"/>
      <c r="J2428" s="20"/>
      <c r="K2428" s="20"/>
      <c r="L2428" s="20"/>
      <c r="M2428" s="20"/>
      <c r="N2428" s="20"/>
      <c r="O2428" s="20"/>
      <c r="P2428" s="20"/>
      <c r="Q2428" s="20"/>
      <c r="R2428" s="20"/>
      <c r="S2428" s="20"/>
      <c r="T2428" s="20"/>
      <c r="U2428" s="20"/>
      <c r="V2428" s="20"/>
      <c r="W2428" s="20"/>
      <c r="X2428" s="20"/>
      <c r="Y2428" s="20"/>
    </row>
    <row r="2429" spans="1:25" x14ac:dyDescent="0.3">
      <c r="A2429" s="20"/>
      <c r="B2429" s="20"/>
      <c r="C2429" s="20"/>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row>
    <row r="2430" spans="1:25" x14ac:dyDescent="0.3">
      <c r="A2430" s="20"/>
      <c r="B2430" s="20"/>
      <c r="C2430" s="20"/>
      <c r="D2430" s="20"/>
      <c r="E2430" s="20"/>
      <c r="F2430" s="20"/>
      <c r="G2430" s="20"/>
      <c r="H2430" s="20"/>
      <c r="I2430" s="20"/>
      <c r="J2430" s="20"/>
      <c r="K2430" s="20"/>
      <c r="L2430" s="20"/>
      <c r="M2430" s="20"/>
      <c r="N2430" s="20"/>
      <c r="O2430" s="20"/>
      <c r="P2430" s="20"/>
      <c r="Q2430" s="20"/>
      <c r="R2430" s="20"/>
      <c r="S2430" s="20"/>
      <c r="T2430" s="20"/>
      <c r="U2430" s="20"/>
      <c r="V2430" s="20"/>
      <c r="W2430" s="20"/>
      <c r="X2430" s="20"/>
      <c r="Y2430" s="20"/>
    </row>
    <row r="2431" spans="1:25" x14ac:dyDescent="0.3">
      <c r="A2431" s="20"/>
      <c r="B2431" s="20"/>
      <c r="C2431" s="20"/>
      <c r="D2431" s="20"/>
      <c r="E2431" s="20"/>
      <c r="F2431" s="20"/>
      <c r="G2431" s="20"/>
      <c r="H2431" s="20"/>
      <c r="I2431" s="20"/>
      <c r="J2431" s="20"/>
      <c r="K2431" s="20"/>
      <c r="L2431" s="20"/>
      <c r="M2431" s="20"/>
      <c r="N2431" s="20"/>
      <c r="O2431" s="20"/>
      <c r="P2431" s="20"/>
      <c r="Q2431" s="20"/>
      <c r="R2431" s="20"/>
      <c r="S2431" s="20"/>
      <c r="T2431" s="20"/>
      <c r="U2431" s="20"/>
      <c r="V2431" s="20"/>
      <c r="W2431" s="20"/>
      <c r="X2431" s="20"/>
      <c r="Y2431" s="20"/>
    </row>
    <row r="2432" spans="1:25" x14ac:dyDescent="0.3">
      <c r="A2432" s="20"/>
      <c r="B2432" s="20"/>
      <c r="C2432" s="20"/>
      <c r="D2432" s="20"/>
      <c r="E2432" s="20"/>
      <c r="F2432" s="20"/>
      <c r="G2432" s="20"/>
      <c r="H2432" s="20"/>
      <c r="I2432" s="20"/>
      <c r="J2432" s="20"/>
      <c r="K2432" s="20"/>
      <c r="L2432" s="20"/>
      <c r="M2432" s="20"/>
      <c r="N2432" s="20"/>
      <c r="O2432" s="20"/>
      <c r="P2432" s="20"/>
      <c r="Q2432" s="20"/>
      <c r="R2432" s="20"/>
      <c r="S2432" s="20"/>
      <c r="T2432" s="20"/>
      <c r="U2432" s="20"/>
      <c r="V2432" s="20"/>
      <c r="W2432" s="20"/>
      <c r="X2432" s="20"/>
      <c r="Y2432" s="20"/>
    </row>
    <row r="2433" spans="1:25" x14ac:dyDescent="0.3">
      <c r="A2433" s="20"/>
      <c r="B2433" s="20"/>
      <c r="C2433" s="20"/>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row>
    <row r="2434" spans="1:25" x14ac:dyDescent="0.3">
      <c r="A2434" s="20"/>
      <c r="B2434" s="20"/>
      <c r="C2434" s="20"/>
      <c r="D2434" s="20"/>
      <c r="E2434" s="20"/>
      <c r="F2434" s="20"/>
      <c r="G2434" s="20"/>
      <c r="H2434" s="20"/>
      <c r="I2434" s="20"/>
      <c r="J2434" s="20"/>
      <c r="K2434" s="20"/>
      <c r="L2434" s="20"/>
      <c r="M2434" s="20"/>
      <c r="N2434" s="20"/>
      <c r="O2434" s="20"/>
      <c r="P2434" s="20"/>
      <c r="Q2434" s="20"/>
      <c r="R2434" s="20"/>
      <c r="S2434" s="20"/>
      <c r="T2434" s="20"/>
      <c r="U2434" s="20"/>
      <c r="V2434" s="20"/>
      <c r="W2434" s="20"/>
      <c r="X2434" s="20"/>
      <c r="Y2434" s="20"/>
    </row>
    <row r="2435" spans="1:25" x14ac:dyDescent="0.3">
      <c r="A2435" s="20"/>
      <c r="B2435" s="20"/>
      <c r="C2435" s="20"/>
      <c r="D2435" s="20"/>
      <c r="E2435" s="20"/>
      <c r="F2435" s="20"/>
      <c r="G2435" s="20"/>
      <c r="H2435" s="20"/>
      <c r="I2435" s="20"/>
      <c r="J2435" s="20"/>
      <c r="K2435" s="20"/>
      <c r="L2435" s="20"/>
      <c r="M2435" s="20"/>
      <c r="N2435" s="20"/>
      <c r="O2435" s="20"/>
      <c r="P2435" s="20"/>
      <c r="Q2435" s="20"/>
      <c r="R2435" s="20"/>
      <c r="S2435" s="20"/>
      <c r="T2435" s="20"/>
      <c r="U2435" s="20"/>
      <c r="V2435" s="20"/>
      <c r="W2435" s="20"/>
      <c r="X2435" s="20"/>
      <c r="Y2435" s="20"/>
    </row>
    <row r="2436" spans="1:25" x14ac:dyDescent="0.3">
      <c r="A2436" s="20"/>
      <c r="B2436" s="20"/>
      <c r="C2436" s="20"/>
      <c r="D2436" s="20"/>
      <c r="E2436" s="20"/>
      <c r="F2436" s="20"/>
      <c r="G2436" s="20"/>
      <c r="H2436" s="20"/>
      <c r="I2436" s="20"/>
      <c r="J2436" s="20"/>
      <c r="K2436" s="20"/>
      <c r="L2436" s="20"/>
      <c r="M2436" s="20"/>
      <c r="N2436" s="20"/>
      <c r="O2436" s="20"/>
      <c r="P2436" s="20"/>
      <c r="Q2436" s="20"/>
      <c r="R2436" s="20"/>
      <c r="S2436" s="20"/>
      <c r="T2436" s="20"/>
      <c r="U2436" s="20"/>
      <c r="V2436" s="20"/>
      <c r="W2436" s="20"/>
      <c r="X2436" s="20"/>
      <c r="Y2436" s="20"/>
    </row>
    <row r="2437" spans="1:25" x14ac:dyDescent="0.3">
      <c r="A2437" s="20"/>
      <c r="B2437" s="20"/>
      <c r="C2437" s="20"/>
      <c r="D2437" s="20"/>
      <c r="E2437" s="20"/>
      <c r="F2437" s="20"/>
      <c r="G2437" s="20"/>
      <c r="H2437" s="20"/>
      <c r="I2437" s="20"/>
      <c r="J2437" s="20"/>
      <c r="K2437" s="20"/>
      <c r="L2437" s="20"/>
      <c r="M2437" s="20"/>
      <c r="N2437" s="20"/>
      <c r="O2437" s="20"/>
      <c r="P2437" s="20"/>
      <c r="Q2437" s="20"/>
      <c r="R2437" s="20"/>
      <c r="S2437" s="20"/>
      <c r="T2437" s="20"/>
      <c r="U2437" s="20"/>
      <c r="V2437" s="20"/>
      <c r="W2437" s="20"/>
      <c r="X2437" s="20"/>
      <c r="Y2437" s="20"/>
    </row>
    <row r="2438" spans="1:25" x14ac:dyDescent="0.3">
      <c r="A2438" s="20"/>
      <c r="B2438" s="20"/>
      <c r="C2438" s="20"/>
      <c r="D2438" s="20"/>
      <c r="E2438" s="20"/>
      <c r="F2438" s="20"/>
      <c r="G2438" s="20"/>
      <c r="H2438" s="20"/>
      <c r="I2438" s="20"/>
      <c r="J2438" s="20"/>
      <c r="K2438" s="20"/>
      <c r="L2438" s="20"/>
      <c r="M2438" s="20"/>
      <c r="N2438" s="20"/>
      <c r="O2438" s="20"/>
      <c r="P2438" s="20"/>
      <c r="Q2438" s="20"/>
      <c r="R2438" s="20"/>
      <c r="S2438" s="20"/>
      <c r="T2438" s="20"/>
      <c r="U2438" s="20"/>
      <c r="V2438" s="20"/>
      <c r="W2438" s="20"/>
      <c r="X2438" s="20"/>
      <c r="Y2438" s="20"/>
    </row>
    <row r="2439" spans="1:25" x14ac:dyDescent="0.3">
      <c r="A2439" s="20"/>
      <c r="B2439" s="20"/>
      <c r="C2439" s="20"/>
      <c r="D2439" s="20"/>
      <c r="E2439" s="20"/>
      <c r="F2439" s="20"/>
      <c r="G2439" s="20"/>
      <c r="H2439" s="20"/>
      <c r="I2439" s="20"/>
      <c r="J2439" s="20"/>
      <c r="K2439" s="20"/>
      <c r="L2439" s="20"/>
      <c r="M2439" s="20"/>
      <c r="N2439" s="20"/>
      <c r="O2439" s="20"/>
      <c r="P2439" s="20"/>
      <c r="Q2439" s="20"/>
      <c r="R2439" s="20"/>
      <c r="S2439" s="20"/>
      <c r="T2439" s="20"/>
      <c r="U2439" s="20"/>
      <c r="V2439" s="20"/>
      <c r="W2439" s="20"/>
      <c r="X2439" s="20"/>
      <c r="Y2439" s="20"/>
    </row>
    <row r="2440" spans="1:25" x14ac:dyDescent="0.3">
      <c r="A2440" s="20"/>
      <c r="B2440" s="20"/>
      <c r="C2440" s="20"/>
      <c r="D2440" s="20"/>
      <c r="E2440" s="20"/>
      <c r="F2440" s="20"/>
      <c r="G2440" s="20"/>
      <c r="H2440" s="20"/>
      <c r="I2440" s="20"/>
      <c r="J2440" s="20"/>
      <c r="K2440" s="20"/>
      <c r="L2440" s="20"/>
      <c r="M2440" s="20"/>
      <c r="N2440" s="20"/>
      <c r="O2440" s="20"/>
      <c r="P2440" s="20"/>
      <c r="Q2440" s="20"/>
      <c r="R2440" s="20"/>
      <c r="S2440" s="20"/>
      <c r="T2440" s="20"/>
      <c r="U2440" s="20"/>
      <c r="V2440" s="20"/>
      <c r="W2440" s="20"/>
      <c r="X2440" s="20"/>
      <c r="Y2440" s="20"/>
    </row>
    <row r="2441" spans="1:25" x14ac:dyDescent="0.3">
      <c r="A2441" s="20"/>
      <c r="B2441" s="20"/>
      <c r="C2441" s="20"/>
      <c r="D2441" s="20"/>
      <c r="E2441" s="20"/>
      <c r="F2441" s="20"/>
      <c r="G2441" s="20"/>
      <c r="H2441" s="20"/>
      <c r="I2441" s="20"/>
      <c r="J2441" s="20"/>
      <c r="K2441" s="20"/>
      <c r="L2441" s="20"/>
      <c r="M2441" s="20"/>
      <c r="N2441" s="20"/>
      <c r="O2441" s="20"/>
      <c r="P2441" s="20"/>
      <c r="Q2441" s="20"/>
      <c r="R2441" s="20"/>
      <c r="S2441" s="20"/>
      <c r="T2441" s="20"/>
      <c r="U2441" s="20"/>
      <c r="V2441" s="20"/>
      <c r="W2441" s="20"/>
      <c r="X2441" s="20"/>
      <c r="Y2441" s="20"/>
    </row>
    <row r="2442" spans="1:25" x14ac:dyDescent="0.3">
      <c r="A2442" s="20"/>
      <c r="B2442" s="20"/>
      <c r="C2442" s="20"/>
      <c r="D2442" s="20"/>
      <c r="E2442" s="20"/>
      <c r="F2442" s="20"/>
      <c r="G2442" s="20"/>
      <c r="H2442" s="20"/>
      <c r="I2442" s="20"/>
      <c r="J2442" s="20"/>
      <c r="K2442" s="20"/>
      <c r="L2442" s="20"/>
      <c r="M2442" s="20"/>
      <c r="N2442" s="20"/>
      <c r="O2442" s="20"/>
      <c r="P2442" s="20"/>
      <c r="Q2442" s="20"/>
      <c r="R2442" s="20"/>
      <c r="S2442" s="20"/>
      <c r="T2442" s="20"/>
      <c r="U2442" s="20"/>
      <c r="V2442" s="20"/>
      <c r="W2442" s="20"/>
      <c r="X2442" s="20"/>
      <c r="Y2442" s="20"/>
    </row>
    <row r="2443" spans="1:25" x14ac:dyDescent="0.3">
      <c r="A2443" s="20"/>
      <c r="B2443" s="20"/>
      <c r="C2443" s="20"/>
      <c r="D2443" s="20"/>
      <c r="E2443" s="20"/>
      <c r="F2443" s="20"/>
      <c r="G2443" s="20"/>
      <c r="H2443" s="20"/>
      <c r="I2443" s="20"/>
      <c r="J2443" s="20"/>
      <c r="K2443" s="20"/>
      <c r="L2443" s="20"/>
      <c r="M2443" s="20"/>
      <c r="N2443" s="20"/>
      <c r="O2443" s="20"/>
      <c r="P2443" s="20"/>
      <c r="Q2443" s="20"/>
      <c r="R2443" s="20"/>
      <c r="S2443" s="20"/>
      <c r="T2443" s="20"/>
      <c r="U2443" s="20"/>
      <c r="V2443" s="20"/>
      <c r="W2443" s="20"/>
      <c r="X2443" s="20"/>
      <c r="Y2443" s="20"/>
    </row>
    <row r="2444" spans="1:25" x14ac:dyDescent="0.3">
      <c r="A2444" s="20"/>
      <c r="B2444" s="20"/>
      <c r="C2444" s="20"/>
      <c r="D2444" s="20"/>
      <c r="E2444" s="20"/>
      <c r="F2444" s="20"/>
      <c r="G2444" s="20"/>
      <c r="H2444" s="20"/>
      <c r="I2444" s="20"/>
      <c r="J2444" s="20"/>
      <c r="K2444" s="20"/>
      <c r="L2444" s="20"/>
      <c r="M2444" s="20"/>
      <c r="N2444" s="20"/>
      <c r="O2444" s="20"/>
      <c r="P2444" s="20"/>
      <c r="Q2444" s="20"/>
      <c r="R2444" s="20"/>
      <c r="S2444" s="20"/>
      <c r="T2444" s="20"/>
      <c r="U2444" s="20"/>
      <c r="V2444" s="20"/>
      <c r="W2444" s="20"/>
      <c r="X2444" s="20"/>
      <c r="Y2444" s="20"/>
    </row>
    <row r="2445" spans="1:25" x14ac:dyDescent="0.3">
      <c r="A2445" s="20"/>
      <c r="B2445" s="20"/>
      <c r="C2445" s="20"/>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row>
    <row r="2446" spans="1:25" x14ac:dyDescent="0.3">
      <c r="A2446" s="20"/>
      <c r="B2446" s="20"/>
      <c r="C2446" s="20"/>
      <c r="D2446" s="20"/>
      <c r="E2446" s="20"/>
      <c r="F2446" s="20"/>
      <c r="G2446" s="20"/>
      <c r="H2446" s="20"/>
      <c r="I2446" s="20"/>
      <c r="J2446" s="20"/>
      <c r="K2446" s="20"/>
      <c r="L2446" s="20"/>
      <c r="M2446" s="20"/>
      <c r="N2446" s="20"/>
      <c r="O2446" s="20"/>
      <c r="P2446" s="20"/>
      <c r="Q2446" s="20"/>
      <c r="R2446" s="20"/>
      <c r="S2446" s="20"/>
      <c r="T2446" s="20"/>
      <c r="U2446" s="20"/>
      <c r="V2446" s="20"/>
      <c r="W2446" s="20"/>
      <c r="X2446" s="20"/>
      <c r="Y2446" s="20"/>
    </row>
    <row r="2447" spans="1:25" x14ac:dyDescent="0.3">
      <c r="A2447" s="20"/>
      <c r="B2447" s="20"/>
      <c r="C2447" s="20"/>
      <c r="D2447" s="20"/>
      <c r="E2447" s="20"/>
      <c r="F2447" s="20"/>
      <c r="G2447" s="20"/>
      <c r="H2447" s="20"/>
      <c r="I2447" s="20"/>
      <c r="J2447" s="20"/>
      <c r="K2447" s="20"/>
      <c r="L2447" s="20"/>
      <c r="M2447" s="20"/>
      <c r="N2447" s="20"/>
      <c r="O2447" s="20"/>
      <c r="P2447" s="20"/>
      <c r="Q2447" s="20"/>
      <c r="R2447" s="20"/>
      <c r="S2447" s="20"/>
      <c r="T2447" s="20"/>
      <c r="U2447" s="20"/>
      <c r="V2447" s="20"/>
      <c r="W2447" s="20"/>
      <c r="X2447" s="20"/>
      <c r="Y2447" s="20"/>
    </row>
    <row r="2448" spans="1:25" x14ac:dyDescent="0.3">
      <c r="A2448" s="20"/>
      <c r="B2448" s="20"/>
      <c r="C2448" s="20"/>
      <c r="D2448" s="20"/>
      <c r="E2448" s="20"/>
      <c r="F2448" s="20"/>
      <c r="G2448" s="20"/>
      <c r="H2448" s="20"/>
      <c r="I2448" s="20"/>
      <c r="J2448" s="20"/>
      <c r="K2448" s="20"/>
      <c r="L2448" s="20"/>
      <c r="M2448" s="20"/>
      <c r="N2448" s="20"/>
      <c r="O2448" s="20"/>
      <c r="P2448" s="20"/>
      <c r="Q2448" s="20"/>
      <c r="R2448" s="20"/>
      <c r="S2448" s="20"/>
      <c r="T2448" s="20"/>
      <c r="U2448" s="20"/>
      <c r="V2448" s="20"/>
      <c r="W2448" s="20"/>
      <c r="X2448" s="20"/>
      <c r="Y2448" s="20"/>
    </row>
    <row r="2449" spans="1:25" x14ac:dyDescent="0.3">
      <c r="A2449" s="20"/>
      <c r="B2449" s="20"/>
      <c r="C2449" s="20"/>
      <c r="D2449" s="20"/>
      <c r="E2449" s="20"/>
      <c r="F2449" s="20"/>
      <c r="G2449" s="20"/>
      <c r="H2449" s="20"/>
      <c r="I2449" s="20"/>
      <c r="J2449" s="20"/>
      <c r="K2449" s="20"/>
      <c r="L2449" s="20"/>
      <c r="M2449" s="20"/>
      <c r="N2449" s="20"/>
      <c r="O2449" s="20"/>
      <c r="P2449" s="20"/>
      <c r="Q2449" s="20"/>
      <c r="R2449" s="20"/>
      <c r="S2449" s="20"/>
      <c r="T2449" s="20"/>
      <c r="U2449" s="20"/>
      <c r="V2449" s="20"/>
      <c r="W2449" s="20"/>
      <c r="X2449" s="20"/>
      <c r="Y2449" s="20"/>
    </row>
    <row r="2450" spans="1:25" x14ac:dyDescent="0.3">
      <c r="A2450" s="20"/>
      <c r="B2450" s="20"/>
      <c r="C2450" s="20"/>
      <c r="D2450" s="20"/>
      <c r="E2450" s="20"/>
      <c r="F2450" s="20"/>
      <c r="G2450" s="20"/>
      <c r="H2450" s="20"/>
      <c r="I2450" s="20"/>
      <c r="J2450" s="20"/>
      <c r="K2450" s="20"/>
      <c r="L2450" s="20"/>
      <c r="M2450" s="20"/>
      <c r="N2450" s="20"/>
      <c r="O2450" s="20"/>
      <c r="P2450" s="20"/>
      <c r="Q2450" s="20"/>
      <c r="R2450" s="20"/>
      <c r="S2450" s="20"/>
      <c r="T2450" s="20"/>
      <c r="U2450" s="20"/>
      <c r="V2450" s="20"/>
      <c r="W2450" s="20"/>
      <c r="X2450" s="20"/>
      <c r="Y2450" s="20"/>
    </row>
    <row r="2451" spans="1:25" x14ac:dyDescent="0.3">
      <c r="A2451" s="20"/>
      <c r="B2451" s="20"/>
      <c r="C2451" s="20"/>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row>
    <row r="2452" spans="1:25" x14ac:dyDescent="0.3">
      <c r="A2452" s="20"/>
      <c r="B2452" s="20"/>
      <c r="C2452" s="20"/>
      <c r="D2452" s="20"/>
      <c r="E2452" s="20"/>
      <c r="F2452" s="20"/>
      <c r="G2452" s="20"/>
      <c r="H2452" s="20"/>
      <c r="I2452" s="20"/>
      <c r="J2452" s="20"/>
      <c r="K2452" s="20"/>
      <c r="L2452" s="20"/>
      <c r="M2452" s="20"/>
      <c r="N2452" s="20"/>
      <c r="O2452" s="20"/>
      <c r="P2452" s="20"/>
      <c r="Q2452" s="20"/>
      <c r="R2452" s="20"/>
      <c r="S2452" s="20"/>
      <c r="T2452" s="20"/>
      <c r="U2452" s="20"/>
      <c r="V2452" s="20"/>
      <c r="W2452" s="20"/>
      <c r="X2452" s="20"/>
      <c r="Y2452" s="20"/>
    </row>
    <row r="2453" spans="1:25" x14ac:dyDescent="0.3">
      <c r="A2453" s="20"/>
      <c r="B2453" s="20"/>
      <c r="C2453" s="20"/>
      <c r="D2453" s="20"/>
      <c r="E2453" s="20"/>
      <c r="F2453" s="20"/>
      <c r="G2453" s="20"/>
      <c r="H2453" s="20"/>
      <c r="I2453" s="20"/>
      <c r="J2453" s="20"/>
      <c r="K2453" s="20"/>
      <c r="L2453" s="20"/>
      <c r="M2453" s="20"/>
      <c r="N2453" s="20"/>
      <c r="O2453" s="20"/>
      <c r="P2453" s="20"/>
      <c r="Q2453" s="20"/>
      <c r="R2453" s="20"/>
      <c r="S2453" s="20"/>
      <c r="T2453" s="20"/>
      <c r="U2453" s="20"/>
      <c r="V2453" s="20"/>
      <c r="W2453" s="20"/>
      <c r="X2453" s="20"/>
      <c r="Y2453" s="20"/>
    </row>
    <row r="2454" spans="1:25" x14ac:dyDescent="0.3">
      <c r="A2454" s="20"/>
      <c r="B2454" s="20"/>
      <c r="C2454" s="20"/>
      <c r="D2454" s="20"/>
      <c r="E2454" s="20"/>
      <c r="F2454" s="20"/>
      <c r="G2454" s="20"/>
      <c r="H2454" s="20"/>
      <c r="I2454" s="20"/>
      <c r="J2454" s="20"/>
      <c r="K2454" s="20"/>
      <c r="L2454" s="20"/>
      <c r="M2454" s="20"/>
      <c r="N2454" s="20"/>
      <c r="O2454" s="20"/>
      <c r="P2454" s="20"/>
      <c r="Q2454" s="20"/>
      <c r="R2454" s="20"/>
      <c r="S2454" s="20"/>
      <c r="T2454" s="20"/>
      <c r="U2454" s="20"/>
      <c r="V2454" s="20"/>
      <c r="W2454" s="20"/>
      <c r="X2454" s="20"/>
      <c r="Y2454" s="20"/>
    </row>
    <row r="2455" spans="1:25" x14ac:dyDescent="0.3">
      <c r="A2455" s="20"/>
      <c r="B2455" s="20"/>
      <c r="C2455" s="20"/>
      <c r="D2455" s="20"/>
      <c r="E2455" s="20"/>
      <c r="F2455" s="20"/>
      <c r="G2455" s="20"/>
      <c r="H2455" s="20"/>
      <c r="I2455" s="20"/>
      <c r="J2455" s="20"/>
      <c r="K2455" s="20"/>
      <c r="L2455" s="20"/>
      <c r="M2455" s="20"/>
      <c r="N2455" s="20"/>
      <c r="O2455" s="20"/>
      <c r="P2455" s="20"/>
      <c r="Q2455" s="20"/>
      <c r="R2455" s="20"/>
      <c r="S2455" s="20"/>
      <c r="T2455" s="20"/>
      <c r="U2455" s="20"/>
      <c r="V2455" s="20"/>
      <c r="W2455" s="20"/>
      <c r="X2455" s="20"/>
      <c r="Y2455" s="20"/>
    </row>
    <row r="2456" spans="1:25" x14ac:dyDescent="0.3">
      <c r="A2456" s="20"/>
      <c r="B2456" s="20"/>
      <c r="C2456" s="20"/>
      <c r="D2456" s="20"/>
      <c r="E2456" s="20"/>
      <c r="F2456" s="20"/>
      <c r="G2456" s="20"/>
      <c r="H2456" s="20"/>
      <c r="I2456" s="20"/>
      <c r="J2456" s="20"/>
      <c r="K2456" s="20"/>
      <c r="L2456" s="20"/>
      <c r="M2456" s="20"/>
      <c r="N2456" s="20"/>
      <c r="O2456" s="20"/>
      <c r="P2456" s="20"/>
      <c r="Q2456" s="20"/>
      <c r="R2456" s="20"/>
      <c r="S2456" s="20"/>
      <c r="T2456" s="20"/>
      <c r="U2456" s="20"/>
      <c r="V2456" s="20"/>
      <c r="W2456" s="20"/>
      <c r="X2456" s="20"/>
      <c r="Y2456" s="20"/>
    </row>
    <row r="2457" spans="1:25" x14ac:dyDescent="0.3">
      <c r="A2457" s="20"/>
      <c r="B2457" s="20"/>
      <c r="C2457" s="20"/>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row>
    <row r="2458" spans="1:25" x14ac:dyDescent="0.3">
      <c r="A2458" s="20"/>
      <c r="B2458" s="20"/>
      <c r="C2458" s="20"/>
      <c r="D2458" s="20"/>
      <c r="E2458" s="20"/>
      <c r="F2458" s="20"/>
      <c r="G2458" s="20"/>
      <c r="H2458" s="20"/>
      <c r="I2458" s="20"/>
      <c r="J2458" s="20"/>
      <c r="K2458" s="20"/>
      <c r="L2458" s="20"/>
      <c r="M2458" s="20"/>
      <c r="N2458" s="20"/>
      <c r="O2458" s="20"/>
      <c r="P2458" s="20"/>
      <c r="Q2458" s="20"/>
      <c r="R2458" s="20"/>
      <c r="S2458" s="20"/>
      <c r="T2458" s="20"/>
      <c r="U2458" s="20"/>
      <c r="V2458" s="20"/>
      <c r="W2458" s="20"/>
      <c r="X2458" s="20"/>
      <c r="Y2458" s="20"/>
    </row>
    <row r="2459" spans="1:25" x14ac:dyDescent="0.3">
      <c r="A2459" s="20"/>
      <c r="B2459" s="20"/>
      <c r="C2459" s="20"/>
      <c r="D2459" s="20"/>
      <c r="E2459" s="20"/>
      <c r="F2459" s="20"/>
      <c r="G2459" s="20"/>
      <c r="H2459" s="20"/>
      <c r="I2459" s="20"/>
      <c r="J2459" s="20"/>
      <c r="K2459" s="20"/>
      <c r="L2459" s="20"/>
      <c r="M2459" s="20"/>
      <c r="N2459" s="20"/>
      <c r="O2459" s="20"/>
      <c r="P2459" s="20"/>
      <c r="Q2459" s="20"/>
      <c r="R2459" s="20"/>
      <c r="S2459" s="20"/>
      <c r="T2459" s="20"/>
      <c r="U2459" s="20"/>
      <c r="V2459" s="20"/>
      <c r="W2459" s="20"/>
      <c r="X2459" s="20"/>
      <c r="Y2459" s="20"/>
    </row>
    <row r="2460" spans="1:25" x14ac:dyDescent="0.3">
      <c r="A2460" s="20"/>
      <c r="B2460" s="20"/>
      <c r="C2460" s="20"/>
      <c r="D2460" s="20"/>
      <c r="E2460" s="20"/>
      <c r="F2460" s="20"/>
      <c r="G2460" s="20"/>
      <c r="H2460" s="20"/>
      <c r="I2460" s="20"/>
      <c r="J2460" s="20"/>
      <c r="K2460" s="20"/>
      <c r="L2460" s="20"/>
      <c r="M2460" s="20"/>
      <c r="N2460" s="20"/>
      <c r="O2460" s="20"/>
      <c r="P2460" s="20"/>
      <c r="Q2460" s="20"/>
      <c r="R2460" s="20"/>
      <c r="S2460" s="20"/>
      <c r="T2460" s="20"/>
      <c r="U2460" s="20"/>
      <c r="V2460" s="20"/>
      <c r="W2460" s="20"/>
      <c r="X2460" s="20"/>
      <c r="Y2460" s="20"/>
    </row>
    <row r="2461" spans="1:25" x14ac:dyDescent="0.3">
      <c r="A2461" s="20"/>
      <c r="B2461" s="20"/>
      <c r="C2461" s="20"/>
      <c r="D2461" s="20"/>
      <c r="E2461" s="20"/>
      <c r="F2461" s="20"/>
      <c r="G2461" s="20"/>
      <c r="H2461" s="20"/>
      <c r="I2461" s="20"/>
      <c r="J2461" s="20"/>
      <c r="K2461" s="20"/>
      <c r="L2461" s="20"/>
      <c r="M2461" s="20"/>
      <c r="N2461" s="20"/>
      <c r="O2461" s="20"/>
      <c r="P2461" s="20"/>
      <c r="Q2461" s="20"/>
      <c r="R2461" s="20"/>
      <c r="S2461" s="20"/>
      <c r="T2461" s="20"/>
      <c r="U2461" s="20"/>
      <c r="V2461" s="20"/>
      <c r="W2461" s="20"/>
      <c r="X2461" s="20"/>
      <c r="Y2461" s="20"/>
    </row>
    <row r="2462" spans="1:25" x14ac:dyDescent="0.3">
      <c r="A2462" s="20"/>
      <c r="B2462" s="20"/>
      <c r="C2462" s="20"/>
      <c r="D2462" s="20"/>
      <c r="E2462" s="20"/>
      <c r="F2462" s="20"/>
      <c r="G2462" s="20"/>
      <c r="H2462" s="20"/>
      <c r="I2462" s="20"/>
      <c r="J2462" s="20"/>
      <c r="K2462" s="20"/>
      <c r="L2462" s="20"/>
      <c r="M2462" s="20"/>
      <c r="N2462" s="20"/>
      <c r="O2462" s="20"/>
      <c r="P2462" s="20"/>
      <c r="Q2462" s="20"/>
      <c r="R2462" s="20"/>
      <c r="S2462" s="20"/>
      <c r="T2462" s="20"/>
      <c r="U2462" s="20"/>
      <c r="V2462" s="20"/>
      <c r="W2462" s="20"/>
      <c r="X2462" s="20"/>
      <c r="Y2462" s="20"/>
    </row>
    <row r="2463" spans="1:25" x14ac:dyDescent="0.3">
      <c r="A2463" s="20"/>
      <c r="B2463" s="20"/>
      <c r="C2463" s="20"/>
      <c r="D2463" s="20"/>
      <c r="E2463" s="20"/>
      <c r="F2463" s="20"/>
      <c r="G2463" s="20"/>
      <c r="H2463" s="20"/>
      <c r="I2463" s="20"/>
      <c r="J2463" s="20"/>
      <c r="K2463" s="20"/>
      <c r="L2463" s="20"/>
      <c r="M2463" s="20"/>
      <c r="N2463" s="20"/>
      <c r="O2463" s="20"/>
      <c r="P2463" s="20"/>
      <c r="Q2463" s="20"/>
      <c r="R2463" s="20"/>
      <c r="S2463" s="20"/>
      <c r="T2463" s="20"/>
      <c r="U2463" s="20"/>
      <c r="V2463" s="20"/>
      <c r="W2463" s="20"/>
      <c r="X2463" s="20"/>
      <c r="Y2463" s="20"/>
    </row>
    <row r="2464" spans="1:25" x14ac:dyDescent="0.3">
      <c r="A2464" s="20"/>
      <c r="B2464" s="20"/>
      <c r="C2464" s="20"/>
      <c r="D2464" s="20"/>
      <c r="E2464" s="20"/>
      <c r="F2464" s="20"/>
      <c r="G2464" s="20"/>
      <c r="H2464" s="20"/>
      <c r="I2464" s="20"/>
      <c r="J2464" s="20"/>
      <c r="K2464" s="20"/>
      <c r="L2464" s="20"/>
      <c r="M2464" s="20"/>
      <c r="N2464" s="20"/>
      <c r="O2464" s="20"/>
      <c r="P2464" s="20"/>
      <c r="Q2464" s="20"/>
      <c r="R2464" s="20"/>
      <c r="S2464" s="20"/>
      <c r="T2464" s="20"/>
      <c r="U2464" s="20"/>
      <c r="V2464" s="20"/>
      <c r="W2464" s="20"/>
      <c r="X2464" s="20"/>
      <c r="Y2464" s="20"/>
    </row>
    <row r="2465" spans="1:25" x14ac:dyDescent="0.3">
      <c r="A2465" s="20"/>
      <c r="B2465" s="20"/>
      <c r="C2465" s="20"/>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row>
    <row r="2466" spans="1:25" x14ac:dyDescent="0.3">
      <c r="A2466" s="20"/>
      <c r="B2466" s="20"/>
      <c r="C2466" s="20"/>
      <c r="D2466" s="20"/>
      <c r="E2466" s="20"/>
      <c r="F2466" s="20"/>
      <c r="G2466" s="20"/>
      <c r="H2466" s="20"/>
      <c r="I2466" s="20"/>
      <c r="J2466" s="20"/>
      <c r="K2466" s="20"/>
      <c r="L2466" s="20"/>
      <c r="M2466" s="20"/>
      <c r="N2466" s="20"/>
      <c r="O2466" s="20"/>
      <c r="P2466" s="20"/>
      <c r="Q2466" s="20"/>
      <c r="R2466" s="20"/>
      <c r="S2466" s="20"/>
      <c r="T2466" s="20"/>
      <c r="U2466" s="20"/>
      <c r="V2466" s="20"/>
      <c r="W2466" s="20"/>
      <c r="X2466" s="20"/>
      <c r="Y2466" s="20"/>
    </row>
    <row r="2467" spans="1:25" x14ac:dyDescent="0.3">
      <c r="A2467" s="20"/>
      <c r="B2467" s="20"/>
      <c r="C2467" s="20"/>
      <c r="D2467" s="20"/>
      <c r="E2467" s="20"/>
      <c r="F2467" s="20"/>
      <c r="G2467" s="20"/>
      <c r="H2467" s="20"/>
      <c r="I2467" s="20"/>
      <c r="J2467" s="20"/>
      <c r="K2467" s="20"/>
      <c r="L2467" s="20"/>
      <c r="M2467" s="20"/>
      <c r="N2467" s="20"/>
      <c r="O2467" s="20"/>
      <c r="P2467" s="20"/>
      <c r="Q2467" s="20"/>
      <c r="R2467" s="20"/>
      <c r="S2467" s="20"/>
      <c r="T2467" s="20"/>
      <c r="U2467" s="20"/>
      <c r="V2467" s="20"/>
      <c r="W2467" s="20"/>
      <c r="X2467" s="20"/>
      <c r="Y2467" s="20"/>
    </row>
    <row r="2468" spans="1:25" x14ac:dyDescent="0.3">
      <c r="A2468" s="20"/>
      <c r="B2468" s="20"/>
      <c r="C2468" s="20"/>
      <c r="D2468" s="20"/>
      <c r="E2468" s="20"/>
      <c r="F2468" s="20"/>
      <c r="G2468" s="20"/>
      <c r="H2468" s="20"/>
      <c r="I2468" s="20"/>
      <c r="J2468" s="20"/>
      <c r="K2468" s="20"/>
      <c r="L2468" s="20"/>
      <c r="M2468" s="20"/>
      <c r="N2468" s="20"/>
      <c r="O2468" s="20"/>
      <c r="P2468" s="20"/>
      <c r="Q2468" s="20"/>
      <c r="R2468" s="20"/>
      <c r="S2468" s="20"/>
      <c r="T2468" s="20"/>
      <c r="U2468" s="20"/>
      <c r="V2468" s="20"/>
      <c r="W2468" s="20"/>
      <c r="X2468" s="20"/>
      <c r="Y2468" s="20"/>
    </row>
    <row r="2469" spans="1:25" x14ac:dyDescent="0.3">
      <c r="A2469" s="20"/>
      <c r="B2469" s="20"/>
      <c r="C2469" s="20"/>
      <c r="D2469" s="20"/>
      <c r="E2469" s="20"/>
      <c r="F2469" s="20"/>
      <c r="G2469" s="20"/>
      <c r="H2469" s="20"/>
      <c r="I2469" s="20"/>
      <c r="J2469" s="20"/>
      <c r="K2469" s="20"/>
      <c r="L2469" s="20"/>
      <c r="M2469" s="20"/>
      <c r="N2469" s="20"/>
      <c r="O2469" s="20"/>
      <c r="P2469" s="20"/>
      <c r="Q2469" s="20"/>
      <c r="R2469" s="20"/>
      <c r="S2469" s="20"/>
      <c r="T2469" s="20"/>
      <c r="U2469" s="20"/>
      <c r="V2469" s="20"/>
      <c r="W2469" s="20"/>
      <c r="X2469" s="20"/>
      <c r="Y2469" s="20"/>
    </row>
    <row r="2470" spans="1:25" x14ac:dyDescent="0.3">
      <c r="A2470" s="20"/>
      <c r="B2470" s="20"/>
      <c r="C2470" s="20"/>
      <c r="D2470" s="20"/>
      <c r="E2470" s="20"/>
      <c r="F2470" s="20"/>
      <c r="G2470" s="20"/>
      <c r="H2470" s="20"/>
      <c r="I2470" s="20"/>
      <c r="J2470" s="20"/>
      <c r="K2470" s="20"/>
      <c r="L2470" s="20"/>
      <c r="M2470" s="20"/>
      <c r="N2470" s="20"/>
      <c r="O2470" s="20"/>
      <c r="P2470" s="20"/>
      <c r="Q2470" s="20"/>
      <c r="R2470" s="20"/>
      <c r="S2470" s="20"/>
      <c r="T2470" s="20"/>
      <c r="U2470" s="20"/>
      <c r="V2470" s="20"/>
      <c r="W2470" s="20"/>
      <c r="X2470" s="20"/>
      <c r="Y2470" s="20"/>
    </row>
    <row r="2471" spans="1:25" x14ac:dyDescent="0.3">
      <c r="A2471" s="20"/>
      <c r="B2471" s="20"/>
      <c r="C2471" s="20"/>
      <c r="D2471" s="20"/>
      <c r="E2471" s="20"/>
      <c r="F2471" s="20"/>
      <c r="G2471" s="20"/>
      <c r="H2471" s="20"/>
      <c r="I2471" s="20"/>
      <c r="J2471" s="20"/>
      <c r="K2471" s="20"/>
      <c r="L2471" s="20"/>
      <c r="M2471" s="20"/>
      <c r="N2471" s="20"/>
      <c r="O2471" s="20"/>
      <c r="P2471" s="20"/>
      <c r="Q2471" s="20"/>
      <c r="R2471" s="20"/>
      <c r="S2471" s="20"/>
      <c r="T2471" s="20"/>
      <c r="U2471" s="20"/>
      <c r="V2471" s="20"/>
      <c r="W2471" s="20"/>
      <c r="X2471" s="20"/>
      <c r="Y2471" s="20"/>
    </row>
    <row r="2472" spans="1:25" x14ac:dyDescent="0.3">
      <c r="A2472" s="20"/>
      <c r="B2472" s="20"/>
      <c r="C2472" s="20"/>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row>
    <row r="2473" spans="1:25" x14ac:dyDescent="0.3">
      <c r="A2473" s="20"/>
      <c r="B2473" s="20"/>
      <c r="C2473" s="20"/>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row>
    <row r="2474" spans="1:25" x14ac:dyDescent="0.3">
      <c r="A2474" s="20"/>
      <c r="B2474" s="20"/>
      <c r="C2474" s="20"/>
      <c r="D2474" s="20"/>
      <c r="E2474" s="20"/>
      <c r="F2474" s="20"/>
      <c r="G2474" s="20"/>
      <c r="H2474" s="20"/>
      <c r="I2474" s="20"/>
      <c r="J2474" s="20"/>
      <c r="K2474" s="20"/>
      <c r="L2474" s="20"/>
      <c r="M2474" s="20"/>
      <c r="N2474" s="20"/>
      <c r="O2474" s="20"/>
      <c r="P2474" s="20"/>
      <c r="Q2474" s="20"/>
      <c r="R2474" s="20"/>
      <c r="S2474" s="20"/>
      <c r="T2474" s="20"/>
      <c r="U2474" s="20"/>
      <c r="V2474" s="20"/>
      <c r="W2474" s="20"/>
      <c r="X2474" s="20"/>
      <c r="Y2474" s="20"/>
    </row>
    <row r="2475" spans="1:25" x14ac:dyDescent="0.3">
      <c r="A2475" s="20"/>
      <c r="B2475" s="20"/>
      <c r="C2475" s="20"/>
      <c r="D2475" s="20"/>
      <c r="E2475" s="20"/>
      <c r="F2475" s="20"/>
      <c r="G2475" s="20"/>
      <c r="H2475" s="20"/>
      <c r="I2475" s="20"/>
      <c r="J2475" s="20"/>
      <c r="K2475" s="20"/>
      <c r="L2475" s="20"/>
      <c r="M2475" s="20"/>
      <c r="N2475" s="20"/>
      <c r="O2475" s="20"/>
      <c r="P2475" s="20"/>
      <c r="Q2475" s="20"/>
      <c r="R2475" s="20"/>
      <c r="S2475" s="20"/>
      <c r="T2475" s="20"/>
      <c r="U2475" s="20"/>
      <c r="V2475" s="20"/>
      <c r="W2475" s="20"/>
      <c r="X2475" s="20"/>
      <c r="Y2475" s="20"/>
    </row>
    <row r="2476" spans="1:25" x14ac:dyDescent="0.3">
      <c r="A2476" s="20"/>
      <c r="B2476" s="20"/>
      <c r="C2476" s="20"/>
      <c r="D2476" s="20"/>
      <c r="E2476" s="20"/>
      <c r="F2476" s="20"/>
      <c r="G2476" s="20"/>
      <c r="H2476" s="20"/>
      <c r="I2476" s="20"/>
      <c r="J2476" s="20"/>
      <c r="K2476" s="20"/>
      <c r="L2476" s="20"/>
      <c r="M2476" s="20"/>
      <c r="N2476" s="20"/>
      <c r="O2476" s="20"/>
      <c r="P2476" s="20"/>
      <c r="Q2476" s="20"/>
      <c r="R2476" s="20"/>
      <c r="S2476" s="20"/>
      <c r="T2476" s="20"/>
      <c r="U2476" s="20"/>
      <c r="V2476" s="20"/>
      <c r="W2476" s="20"/>
      <c r="X2476" s="20"/>
      <c r="Y2476" s="20"/>
    </row>
    <row r="2477" spans="1:25" x14ac:dyDescent="0.3">
      <c r="A2477" s="20"/>
      <c r="B2477" s="20"/>
      <c r="C2477" s="20"/>
      <c r="D2477" s="20"/>
      <c r="E2477" s="20"/>
      <c r="F2477" s="20"/>
      <c r="G2477" s="20"/>
      <c r="H2477" s="20"/>
      <c r="I2477" s="20"/>
      <c r="J2477" s="20"/>
      <c r="K2477" s="20"/>
      <c r="L2477" s="20"/>
      <c r="M2477" s="20"/>
      <c r="N2477" s="20"/>
      <c r="O2477" s="20"/>
      <c r="P2477" s="20"/>
      <c r="Q2477" s="20"/>
      <c r="R2477" s="20"/>
      <c r="S2477" s="20"/>
      <c r="T2477" s="20"/>
      <c r="U2477" s="20"/>
      <c r="V2477" s="20"/>
      <c r="W2477" s="20"/>
      <c r="X2477" s="20"/>
      <c r="Y2477" s="20"/>
    </row>
    <row r="2478" spans="1:25" x14ac:dyDescent="0.3">
      <c r="A2478" s="20"/>
      <c r="B2478" s="20"/>
      <c r="C2478" s="20"/>
      <c r="D2478" s="20"/>
      <c r="E2478" s="20"/>
      <c r="F2478" s="20"/>
      <c r="G2478" s="20"/>
      <c r="H2478" s="20"/>
      <c r="I2478" s="20"/>
      <c r="J2478" s="20"/>
      <c r="K2478" s="20"/>
      <c r="L2478" s="20"/>
      <c r="M2478" s="20"/>
      <c r="N2478" s="20"/>
      <c r="O2478" s="20"/>
      <c r="P2478" s="20"/>
      <c r="Q2478" s="20"/>
      <c r="R2478" s="20"/>
      <c r="S2478" s="20"/>
      <c r="T2478" s="20"/>
      <c r="U2478" s="20"/>
      <c r="V2478" s="20"/>
      <c r="W2478" s="20"/>
      <c r="X2478" s="20"/>
      <c r="Y2478" s="20"/>
    </row>
    <row r="2479" spans="1:25" x14ac:dyDescent="0.3">
      <c r="A2479" s="20"/>
      <c r="B2479" s="20"/>
      <c r="C2479" s="20"/>
      <c r="D2479" s="20"/>
      <c r="E2479" s="20"/>
      <c r="F2479" s="20"/>
      <c r="G2479" s="20"/>
      <c r="H2479" s="20"/>
      <c r="I2479" s="20"/>
      <c r="J2479" s="20"/>
      <c r="K2479" s="20"/>
      <c r="L2479" s="20"/>
      <c r="M2479" s="20"/>
      <c r="N2479" s="20"/>
      <c r="O2479" s="20"/>
      <c r="P2479" s="20"/>
      <c r="Q2479" s="20"/>
      <c r="R2479" s="20"/>
      <c r="S2479" s="20"/>
      <c r="T2479" s="20"/>
      <c r="U2479" s="20"/>
      <c r="V2479" s="20"/>
      <c r="W2479" s="20"/>
      <c r="X2479" s="20"/>
      <c r="Y2479" s="20"/>
    </row>
    <row r="2480" spans="1:25" x14ac:dyDescent="0.3">
      <c r="A2480" s="20"/>
      <c r="B2480" s="20"/>
      <c r="C2480" s="20"/>
      <c r="D2480" s="20"/>
      <c r="E2480" s="20"/>
      <c r="F2480" s="20"/>
      <c r="G2480" s="20"/>
      <c r="H2480" s="20"/>
      <c r="I2480" s="20"/>
      <c r="J2480" s="20"/>
      <c r="K2480" s="20"/>
      <c r="L2480" s="20"/>
      <c r="M2480" s="20"/>
      <c r="N2480" s="20"/>
      <c r="O2480" s="20"/>
      <c r="P2480" s="20"/>
      <c r="Q2480" s="20"/>
      <c r="R2480" s="20"/>
      <c r="S2480" s="20"/>
      <c r="T2480" s="20"/>
      <c r="U2480" s="20"/>
      <c r="V2480" s="20"/>
      <c r="W2480" s="20"/>
      <c r="X2480" s="20"/>
      <c r="Y2480" s="20"/>
    </row>
    <row r="2481" spans="1:25" x14ac:dyDescent="0.3">
      <c r="A2481" s="20"/>
      <c r="B2481" s="20"/>
      <c r="C2481" s="20"/>
      <c r="D2481" s="20"/>
      <c r="E2481" s="20"/>
      <c r="F2481" s="20"/>
      <c r="G2481" s="20"/>
      <c r="H2481" s="20"/>
      <c r="I2481" s="20"/>
      <c r="J2481" s="20"/>
      <c r="K2481" s="20"/>
      <c r="L2481" s="20"/>
      <c r="M2481" s="20"/>
      <c r="N2481" s="20"/>
      <c r="O2481" s="20"/>
      <c r="P2481" s="20"/>
      <c r="Q2481" s="20"/>
      <c r="R2481" s="20"/>
      <c r="S2481" s="20"/>
      <c r="T2481" s="20"/>
      <c r="U2481" s="20"/>
      <c r="V2481" s="20"/>
      <c r="W2481" s="20"/>
      <c r="X2481" s="20"/>
      <c r="Y2481" s="20"/>
    </row>
    <row r="2482" spans="1:25" x14ac:dyDescent="0.3">
      <c r="A2482" s="20"/>
      <c r="B2482" s="20"/>
      <c r="C2482" s="20"/>
      <c r="D2482" s="20"/>
      <c r="E2482" s="20"/>
      <c r="F2482" s="20"/>
      <c r="G2482" s="20"/>
      <c r="H2482" s="20"/>
      <c r="I2482" s="20"/>
      <c r="J2482" s="20"/>
      <c r="K2482" s="20"/>
      <c r="L2482" s="20"/>
      <c r="M2482" s="20"/>
      <c r="N2482" s="20"/>
      <c r="O2482" s="20"/>
      <c r="P2482" s="20"/>
      <c r="Q2482" s="20"/>
      <c r="R2482" s="20"/>
      <c r="S2482" s="20"/>
      <c r="T2482" s="20"/>
      <c r="U2482" s="20"/>
      <c r="V2482" s="20"/>
      <c r="W2482" s="20"/>
      <c r="X2482" s="20"/>
      <c r="Y2482" s="20"/>
    </row>
    <row r="2483" spans="1:25" x14ac:dyDescent="0.3">
      <c r="A2483" s="20"/>
      <c r="B2483" s="20"/>
      <c r="C2483" s="20"/>
      <c r="D2483" s="20"/>
      <c r="E2483" s="20"/>
      <c r="F2483" s="20"/>
      <c r="G2483" s="20"/>
      <c r="H2483" s="20"/>
      <c r="I2483" s="20"/>
      <c r="J2483" s="20"/>
      <c r="K2483" s="20"/>
      <c r="L2483" s="20"/>
      <c r="M2483" s="20"/>
      <c r="N2483" s="20"/>
      <c r="O2483" s="20"/>
      <c r="P2483" s="20"/>
      <c r="Q2483" s="20"/>
      <c r="R2483" s="20"/>
      <c r="S2483" s="20"/>
      <c r="T2483" s="20"/>
      <c r="U2483" s="20"/>
      <c r="V2483" s="20"/>
      <c r="W2483" s="20"/>
      <c r="X2483" s="20"/>
      <c r="Y2483" s="20"/>
    </row>
    <row r="2484" spans="1:25" x14ac:dyDescent="0.3">
      <c r="A2484" s="20"/>
      <c r="B2484" s="20"/>
      <c r="C2484" s="20"/>
      <c r="D2484" s="20"/>
      <c r="E2484" s="20"/>
      <c r="F2484" s="20"/>
      <c r="G2484" s="20"/>
      <c r="H2484" s="20"/>
      <c r="I2484" s="20"/>
      <c r="J2484" s="20"/>
      <c r="K2484" s="20"/>
      <c r="L2484" s="20"/>
      <c r="M2484" s="20"/>
      <c r="N2484" s="20"/>
      <c r="O2484" s="20"/>
      <c r="P2484" s="20"/>
      <c r="Q2484" s="20"/>
      <c r="R2484" s="20"/>
      <c r="S2484" s="20"/>
      <c r="T2484" s="20"/>
      <c r="U2484" s="20"/>
      <c r="V2484" s="20"/>
      <c r="W2484" s="20"/>
      <c r="X2484" s="20"/>
      <c r="Y2484" s="20"/>
    </row>
    <row r="2485" spans="1:25" x14ac:dyDescent="0.3">
      <c r="A2485" s="20"/>
      <c r="B2485" s="20"/>
      <c r="C2485" s="20"/>
      <c r="D2485" s="20"/>
      <c r="E2485" s="20"/>
      <c r="F2485" s="20"/>
      <c r="G2485" s="20"/>
      <c r="H2485" s="20"/>
      <c r="I2485" s="20"/>
      <c r="J2485" s="20"/>
      <c r="K2485" s="20"/>
      <c r="L2485" s="20"/>
      <c r="M2485" s="20"/>
      <c r="N2485" s="20"/>
      <c r="O2485" s="20"/>
      <c r="P2485" s="20"/>
      <c r="Q2485" s="20"/>
      <c r="R2485" s="20"/>
      <c r="S2485" s="20"/>
      <c r="T2485" s="20"/>
      <c r="U2485" s="20"/>
      <c r="V2485" s="20"/>
      <c r="W2485" s="20"/>
      <c r="X2485" s="20"/>
      <c r="Y2485" s="20"/>
    </row>
    <row r="2486" spans="1:25" x14ac:dyDescent="0.3">
      <c r="A2486" s="20"/>
      <c r="B2486" s="20"/>
      <c r="C2486" s="20"/>
      <c r="D2486" s="20"/>
      <c r="E2486" s="20"/>
      <c r="F2486" s="20"/>
      <c r="G2486" s="20"/>
      <c r="H2486" s="20"/>
      <c r="I2486" s="20"/>
      <c r="J2486" s="20"/>
      <c r="K2486" s="20"/>
      <c r="L2486" s="20"/>
      <c r="M2486" s="20"/>
      <c r="N2486" s="20"/>
      <c r="O2486" s="20"/>
      <c r="P2486" s="20"/>
      <c r="Q2486" s="20"/>
      <c r="R2486" s="20"/>
      <c r="S2486" s="20"/>
      <c r="T2486" s="20"/>
      <c r="U2486" s="20"/>
      <c r="V2486" s="20"/>
      <c r="W2486" s="20"/>
      <c r="X2486" s="20"/>
      <c r="Y2486" s="20"/>
    </row>
    <row r="2487" spans="1:25" x14ac:dyDescent="0.3">
      <c r="A2487" s="20"/>
      <c r="B2487" s="20"/>
      <c r="C2487" s="20"/>
      <c r="D2487" s="20"/>
      <c r="E2487" s="20"/>
      <c r="F2487" s="20"/>
      <c r="G2487" s="20"/>
      <c r="H2487" s="20"/>
      <c r="I2487" s="20"/>
      <c r="J2487" s="20"/>
      <c r="K2487" s="20"/>
      <c r="L2487" s="20"/>
      <c r="M2487" s="20"/>
      <c r="N2487" s="20"/>
      <c r="O2487" s="20"/>
      <c r="P2487" s="20"/>
      <c r="Q2487" s="20"/>
      <c r="R2487" s="20"/>
      <c r="S2487" s="20"/>
      <c r="T2487" s="20"/>
      <c r="U2487" s="20"/>
      <c r="V2487" s="20"/>
      <c r="W2487" s="20"/>
      <c r="X2487" s="20"/>
      <c r="Y2487" s="20"/>
    </row>
    <row r="2488" spans="1:25" x14ac:dyDescent="0.3">
      <c r="A2488" s="20"/>
      <c r="B2488" s="20"/>
      <c r="C2488" s="20"/>
      <c r="D2488" s="20"/>
      <c r="E2488" s="20"/>
      <c r="F2488" s="20"/>
      <c r="G2488" s="20"/>
      <c r="H2488" s="20"/>
      <c r="I2488" s="20"/>
      <c r="J2488" s="20"/>
      <c r="K2488" s="20"/>
      <c r="L2488" s="20"/>
      <c r="M2488" s="20"/>
      <c r="N2488" s="20"/>
      <c r="O2488" s="20"/>
      <c r="P2488" s="20"/>
      <c r="Q2488" s="20"/>
      <c r="R2488" s="20"/>
      <c r="S2488" s="20"/>
      <c r="T2488" s="20"/>
      <c r="U2488" s="20"/>
      <c r="V2488" s="20"/>
      <c r="W2488" s="20"/>
      <c r="X2488" s="20"/>
      <c r="Y2488" s="20"/>
    </row>
    <row r="2489" spans="1:25" x14ac:dyDescent="0.3">
      <c r="A2489" s="20"/>
      <c r="B2489" s="20"/>
      <c r="C2489" s="20"/>
      <c r="D2489" s="20"/>
      <c r="E2489" s="20"/>
      <c r="F2489" s="20"/>
      <c r="G2489" s="20"/>
      <c r="H2489" s="20"/>
      <c r="I2489" s="20"/>
      <c r="J2489" s="20"/>
      <c r="K2489" s="20"/>
      <c r="L2489" s="20"/>
      <c r="M2489" s="20"/>
      <c r="N2489" s="20"/>
      <c r="O2489" s="20"/>
      <c r="P2489" s="20"/>
      <c r="Q2489" s="20"/>
      <c r="R2489" s="20"/>
      <c r="S2489" s="20"/>
      <c r="T2489" s="20"/>
      <c r="U2489" s="20"/>
      <c r="V2489" s="20"/>
      <c r="W2489" s="20"/>
      <c r="X2489" s="20"/>
      <c r="Y2489" s="20"/>
    </row>
    <row r="2490" spans="1:25" x14ac:dyDescent="0.3">
      <c r="A2490" s="20"/>
      <c r="B2490" s="20"/>
      <c r="C2490" s="20"/>
      <c r="D2490" s="20"/>
      <c r="E2490" s="20"/>
      <c r="F2490" s="20"/>
      <c r="G2490" s="20"/>
      <c r="H2490" s="20"/>
      <c r="I2490" s="20"/>
      <c r="J2490" s="20"/>
      <c r="K2490" s="20"/>
      <c r="L2490" s="20"/>
      <c r="M2490" s="20"/>
      <c r="N2490" s="20"/>
      <c r="O2490" s="20"/>
      <c r="P2490" s="20"/>
      <c r="Q2490" s="20"/>
      <c r="R2490" s="20"/>
      <c r="S2490" s="20"/>
      <c r="T2490" s="20"/>
      <c r="U2490" s="20"/>
      <c r="V2490" s="20"/>
      <c r="W2490" s="20"/>
      <c r="X2490" s="20"/>
      <c r="Y2490" s="20"/>
    </row>
    <row r="2491" spans="1:25" x14ac:dyDescent="0.3">
      <c r="A2491" s="20"/>
      <c r="B2491" s="20"/>
      <c r="C2491" s="20"/>
      <c r="D2491" s="20"/>
      <c r="E2491" s="20"/>
      <c r="F2491" s="20"/>
      <c r="G2491" s="20"/>
      <c r="H2491" s="20"/>
      <c r="I2491" s="20"/>
      <c r="J2491" s="20"/>
      <c r="K2491" s="20"/>
      <c r="L2491" s="20"/>
      <c r="M2491" s="20"/>
      <c r="N2491" s="20"/>
      <c r="O2491" s="20"/>
      <c r="P2491" s="20"/>
      <c r="Q2491" s="20"/>
      <c r="R2491" s="20"/>
      <c r="S2491" s="20"/>
      <c r="T2491" s="20"/>
      <c r="U2491" s="20"/>
      <c r="V2491" s="20"/>
      <c r="W2491" s="20"/>
      <c r="X2491" s="20"/>
      <c r="Y2491" s="20"/>
    </row>
    <row r="2492" spans="1:25" x14ac:dyDescent="0.3">
      <c r="A2492" s="20"/>
      <c r="B2492" s="20"/>
      <c r="C2492" s="20"/>
      <c r="D2492" s="20"/>
      <c r="E2492" s="20"/>
      <c r="F2492" s="20"/>
      <c r="G2492" s="20"/>
      <c r="H2492" s="20"/>
      <c r="I2492" s="20"/>
      <c r="J2492" s="20"/>
      <c r="K2492" s="20"/>
      <c r="L2492" s="20"/>
      <c r="M2492" s="20"/>
      <c r="N2492" s="20"/>
      <c r="O2492" s="20"/>
      <c r="P2492" s="20"/>
      <c r="Q2492" s="20"/>
      <c r="R2492" s="20"/>
      <c r="S2492" s="20"/>
      <c r="T2492" s="20"/>
      <c r="U2492" s="20"/>
      <c r="V2492" s="20"/>
      <c r="W2492" s="20"/>
      <c r="X2492" s="20"/>
      <c r="Y2492" s="20"/>
    </row>
    <row r="2493" spans="1:25" x14ac:dyDescent="0.3">
      <c r="A2493" s="20"/>
      <c r="B2493" s="20"/>
      <c r="C2493" s="20"/>
      <c r="D2493" s="20"/>
      <c r="E2493" s="20"/>
      <c r="F2493" s="20"/>
      <c r="G2493" s="20"/>
      <c r="H2493" s="20"/>
      <c r="I2493" s="20"/>
      <c r="J2493" s="20"/>
      <c r="K2493" s="20"/>
      <c r="L2493" s="20"/>
      <c r="M2493" s="20"/>
      <c r="N2493" s="20"/>
      <c r="O2493" s="20"/>
      <c r="P2493" s="20"/>
      <c r="Q2493" s="20"/>
      <c r="R2493" s="20"/>
      <c r="S2493" s="20"/>
      <c r="T2493" s="20"/>
      <c r="U2493" s="20"/>
      <c r="V2493" s="20"/>
      <c r="W2493" s="20"/>
      <c r="X2493" s="20"/>
      <c r="Y2493" s="20"/>
    </row>
    <row r="2494" spans="1:25" x14ac:dyDescent="0.3">
      <c r="A2494" s="20"/>
      <c r="B2494" s="20"/>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row>
    <row r="2495" spans="1:25" x14ac:dyDescent="0.3">
      <c r="A2495" s="20"/>
      <c r="B2495" s="20"/>
      <c r="C2495" s="20"/>
      <c r="D2495" s="20"/>
      <c r="E2495" s="20"/>
      <c r="F2495" s="20"/>
      <c r="G2495" s="20"/>
      <c r="H2495" s="20"/>
      <c r="I2495" s="20"/>
      <c r="J2495" s="20"/>
      <c r="K2495" s="20"/>
      <c r="L2495" s="20"/>
      <c r="M2495" s="20"/>
      <c r="N2495" s="20"/>
      <c r="O2495" s="20"/>
      <c r="P2495" s="20"/>
      <c r="Q2495" s="20"/>
      <c r="R2495" s="20"/>
      <c r="S2495" s="20"/>
      <c r="T2495" s="20"/>
      <c r="U2495" s="20"/>
      <c r="V2495" s="20"/>
      <c r="W2495" s="20"/>
      <c r="X2495" s="20"/>
      <c r="Y2495" s="20"/>
    </row>
    <row r="2496" spans="1:25" x14ac:dyDescent="0.3">
      <c r="A2496" s="20"/>
      <c r="B2496" s="20"/>
      <c r="C2496" s="20"/>
      <c r="D2496" s="20"/>
      <c r="E2496" s="20"/>
      <c r="F2496" s="20"/>
      <c r="G2496" s="20"/>
      <c r="H2496" s="20"/>
      <c r="I2496" s="20"/>
      <c r="J2496" s="20"/>
      <c r="K2496" s="20"/>
      <c r="L2496" s="20"/>
      <c r="M2496" s="20"/>
      <c r="N2496" s="20"/>
      <c r="O2496" s="20"/>
      <c r="P2496" s="20"/>
      <c r="Q2496" s="20"/>
      <c r="R2496" s="20"/>
      <c r="S2496" s="20"/>
      <c r="T2496" s="20"/>
      <c r="U2496" s="20"/>
      <c r="V2496" s="20"/>
      <c r="W2496" s="20"/>
      <c r="X2496" s="20"/>
      <c r="Y2496" s="20"/>
    </row>
    <row r="2497" spans="1:25" x14ac:dyDescent="0.3">
      <c r="A2497" s="20"/>
      <c r="B2497" s="20"/>
      <c r="C2497" s="20"/>
      <c r="D2497" s="20"/>
      <c r="E2497" s="20"/>
      <c r="F2497" s="20"/>
      <c r="G2497" s="20"/>
      <c r="H2497" s="20"/>
      <c r="I2497" s="20"/>
      <c r="J2497" s="20"/>
      <c r="K2497" s="20"/>
      <c r="L2497" s="20"/>
      <c r="M2497" s="20"/>
      <c r="N2497" s="20"/>
      <c r="O2497" s="20"/>
      <c r="P2497" s="20"/>
      <c r="Q2497" s="20"/>
      <c r="R2497" s="20"/>
      <c r="S2497" s="20"/>
      <c r="T2497" s="20"/>
      <c r="U2497" s="20"/>
      <c r="V2497" s="20"/>
      <c r="W2497" s="20"/>
      <c r="X2497" s="20"/>
      <c r="Y2497" s="20"/>
    </row>
    <row r="2498" spans="1:25" x14ac:dyDescent="0.3">
      <c r="A2498" s="20"/>
      <c r="B2498" s="20"/>
      <c r="C2498" s="20"/>
      <c r="D2498" s="20"/>
      <c r="E2498" s="20"/>
      <c r="F2498" s="20"/>
      <c r="G2498" s="20"/>
      <c r="H2498" s="20"/>
      <c r="I2498" s="20"/>
      <c r="J2498" s="20"/>
      <c r="K2498" s="20"/>
      <c r="L2498" s="20"/>
      <c r="M2498" s="20"/>
      <c r="N2498" s="20"/>
      <c r="O2498" s="20"/>
      <c r="P2498" s="20"/>
      <c r="Q2498" s="20"/>
      <c r="R2498" s="20"/>
      <c r="S2498" s="20"/>
      <c r="T2498" s="20"/>
      <c r="U2498" s="20"/>
      <c r="V2498" s="20"/>
      <c r="W2498" s="20"/>
      <c r="X2498" s="20"/>
      <c r="Y2498" s="20"/>
    </row>
    <row r="2499" spans="1:25" x14ac:dyDescent="0.3">
      <c r="A2499" s="20"/>
      <c r="B2499" s="20"/>
      <c r="C2499" s="20"/>
      <c r="D2499" s="20"/>
      <c r="E2499" s="20"/>
      <c r="F2499" s="20"/>
      <c r="G2499" s="20"/>
      <c r="H2499" s="20"/>
      <c r="I2499" s="20"/>
      <c r="J2499" s="20"/>
      <c r="K2499" s="20"/>
      <c r="L2499" s="20"/>
      <c r="M2499" s="20"/>
      <c r="N2499" s="20"/>
      <c r="O2499" s="20"/>
      <c r="P2499" s="20"/>
      <c r="Q2499" s="20"/>
      <c r="R2499" s="20"/>
      <c r="S2499" s="20"/>
      <c r="T2499" s="20"/>
      <c r="U2499" s="20"/>
      <c r="V2499" s="20"/>
      <c r="W2499" s="20"/>
      <c r="X2499" s="20"/>
      <c r="Y2499" s="20"/>
    </row>
    <row r="2500" spans="1:25" x14ac:dyDescent="0.3">
      <c r="A2500" s="20"/>
      <c r="B2500" s="20"/>
      <c r="C2500" s="20"/>
      <c r="D2500" s="20"/>
      <c r="E2500" s="20"/>
      <c r="F2500" s="20"/>
      <c r="G2500" s="20"/>
      <c r="H2500" s="20"/>
      <c r="I2500" s="20"/>
      <c r="J2500" s="20"/>
      <c r="K2500" s="20"/>
      <c r="L2500" s="20"/>
      <c r="M2500" s="20"/>
      <c r="N2500" s="20"/>
      <c r="O2500" s="20"/>
      <c r="P2500" s="20"/>
      <c r="Q2500" s="20"/>
      <c r="R2500" s="20"/>
      <c r="S2500" s="20"/>
      <c r="T2500" s="20"/>
      <c r="U2500" s="20"/>
      <c r="V2500" s="20"/>
      <c r="W2500" s="20"/>
      <c r="X2500" s="20"/>
      <c r="Y2500" s="20"/>
    </row>
    <row r="2501" spans="1:25" x14ac:dyDescent="0.3">
      <c r="A2501" s="20"/>
      <c r="B2501" s="20"/>
      <c r="C2501" s="20"/>
      <c r="D2501" s="20"/>
      <c r="E2501" s="20"/>
      <c r="F2501" s="20"/>
      <c r="G2501" s="20"/>
      <c r="H2501" s="20"/>
      <c r="I2501" s="20"/>
      <c r="J2501" s="20"/>
      <c r="K2501" s="20"/>
      <c r="L2501" s="20"/>
      <c r="M2501" s="20"/>
      <c r="N2501" s="20"/>
      <c r="O2501" s="20"/>
      <c r="P2501" s="20"/>
      <c r="Q2501" s="20"/>
      <c r="R2501" s="20"/>
      <c r="S2501" s="20"/>
      <c r="T2501" s="20"/>
      <c r="U2501" s="20"/>
      <c r="V2501" s="20"/>
      <c r="W2501" s="20"/>
      <c r="X2501" s="20"/>
      <c r="Y2501" s="20"/>
    </row>
    <row r="2502" spans="1:25" x14ac:dyDescent="0.3">
      <c r="A2502" s="20"/>
      <c r="B2502" s="20"/>
      <c r="C2502" s="20"/>
      <c r="D2502" s="20"/>
      <c r="E2502" s="20"/>
      <c r="F2502" s="20"/>
      <c r="G2502" s="20"/>
      <c r="H2502" s="20"/>
      <c r="I2502" s="20"/>
      <c r="J2502" s="20"/>
      <c r="K2502" s="20"/>
      <c r="L2502" s="20"/>
      <c r="M2502" s="20"/>
      <c r="N2502" s="20"/>
      <c r="O2502" s="20"/>
      <c r="P2502" s="20"/>
      <c r="Q2502" s="20"/>
      <c r="R2502" s="20"/>
      <c r="S2502" s="20"/>
      <c r="T2502" s="20"/>
      <c r="U2502" s="20"/>
      <c r="V2502" s="20"/>
      <c r="W2502" s="20"/>
      <c r="X2502" s="20"/>
      <c r="Y2502" s="20"/>
    </row>
    <row r="2503" spans="1:25" x14ac:dyDescent="0.3">
      <c r="A2503" s="20"/>
      <c r="B2503" s="20"/>
      <c r="C2503" s="20"/>
      <c r="D2503" s="20"/>
      <c r="E2503" s="20"/>
      <c r="F2503" s="20"/>
      <c r="G2503" s="20"/>
      <c r="H2503" s="20"/>
      <c r="I2503" s="20"/>
      <c r="J2503" s="20"/>
      <c r="K2503" s="20"/>
      <c r="L2503" s="20"/>
      <c r="M2503" s="20"/>
      <c r="N2503" s="20"/>
      <c r="O2503" s="20"/>
      <c r="P2503" s="20"/>
      <c r="Q2503" s="20"/>
      <c r="R2503" s="20"/>
      <c r="S2503" s="20"/>
      <c r="T2503" s="20"/>
      <c r="U2503" s="20"/>
      <c r="V2503" s="20"/>
      <c r="W2503" s="20"/>
      <c r="X2503" s="20"/>
      <c r="Y2503" s="20"/>
    </row>
    <row r="2504" spans="1:25" x14ac:dyDescent="0.3">
      <c r="A2504" s="20"/>
      <c r="B2504" s="20"/>
      <c r="C2504" s="20"/>
      <c r="D2504" s="20"/>
      <c r="E2504" s="20"/>
      <c r="F2504" s="20"/>
      <c r="G2504" s="20"/>
      <c r="H2504" s="20"/>
      <c r="I2504" s="20"/>
      <c r="J2504" s="20"/>
      <c r="K2504" s="20"/>
      <c r="L2504" s="20"/>
      <c r="M2504" s="20"/>
      <c r="N2504" s="20"/>
      <c r="O2504" s="20"/>
      <c r="P2504" s="20"/>
      <c r="Q2504" s="20"/>
      <c r="R2504" s="20"/>
      <c r="S2504" s="20"/>
      <c r="T2504" s="20"/>
      <c r="U2504" s="20"/>
      <c r="V2504" s="20"/>
      <c r="W2504" s="20"/>
      <c r="X2504" s="20"/>
      <c r="Y2504" s="20"/>
    </row>
    <row r="2505" spans="1:25" x14ac:dyDescent="0.3">
      <c r="A2505" s="20"/>
      <c r="B2505" s="20"/>
      <c r="C2505" s="20"/>
      <c r="D2505" s="20"/>
      <c r="E2505" s="20"/>
      <c r="F2505" s="20"/>
      <c r="G2505" s="20"/>
      <c r="H2505" s="20"/>
      <c r="I2505" s="20"/>
      <c r="J2505" s="20"/>
      <c r="K2505" s="20"/>
      <c r="L2505" s="20"/>
      <c r="M2505" s="20"/>
      <c r="N2505" s="20"/>
      <c r="O2505" s="20"/>
      <c r="P2505" s="20"/>
      <c r="Q2505" s="20"/>
      <c r="R2505" s="20"/>
      <c r="S2505" s="20"/>
      <c r="T2505" s="20"/>
      <c r="U2505" s="20"/>
      <c r="V2505" s="20"/>
      <c r="W2505" s="20"/>
      <c r="X2505" s="20"/>
      <c r="Y2505" s="20"/>
    </row>
    <row r="2506" spans="1:25" x14ac:dyDescent="0.3">
      <c r="A2506" s="20"/>
      <c r="B2506" s="20"/>
      <c r="C2506" s="20"/>
      <c r="D2506" s="20"/>
      <c r="E2506" s="20"/>
      <c r="F2506" s="20"/>
      <c r="G2506" s="20"/>
      <c r="H2506" s="20"/>
      <c r="I2506" s="20"/>
      <c r="J2506" s="20"/>
      <c r="K2506" s="20"/>
      <c r="L2506" s="20"/>
      <c r="M2506" s="20"/>
      <c r="N2506" s="20"/>
      <c r="O2506" s="20"/>
      <c r="P2506" s="20"/>
      <c r="Q2506" s="20"/>
      <c r="R2506" s="20"/>
      <c r="S2506" s="20"/>
      <c r="T2506" s="20"/>
      <c r="U2506" s="20"/>
      <c r="V2506" s="20"/>
      <c r="W2506" s="20"/>
      <c r="X2506" s="20"/>
      <c r="Y2506" s="20"/>
    </row>
    <row r="2507" spans="1:25" x14ac:dyDescent="0.3">
      <c r="A2507" s="20"/>
      <c r="B2507" s="20"/>
      <c r="C2507" s="20"/>
      <c r="D2507" s="20"/>
      <c r="E2507" s="20"/>
      <c r="F2507" s="20"/>
      <c r="G2507" s="20"/>
      <c r="H2507" s="20"/>
      <c r="I2507" s="20"/>
      <c r="J2507" s="20"/>
      <c r="K2507" s="20"/>
      <c r="L2507" s="20"/>
      <c r="M2507" s="20"/>
      <c r="N2507" s="20"/>
      <c r="O2507" s="20"/>
      <c r="P2507" s="20"/>
      <c r="Q2507" s="20"/>
      <c r="R2507" s="20"/>
      <c r="S2507" s="20"/>
      <c r="T2507" s="20"/>
      <c r="U2507" s="20"/>
      <c r="V2507" s="20"/>
      <c r="W2507" s="20"/>
      <c r="X2507" s="20"/>
      <c r="Y2507" s="20"/>
    </row>
    <row r="2508" spans="1:25" x14ac:dyDescent="0.3">
      <c r="A2508" s="20"/>
      <c r="B2508" s="20"/>
      <c r="C2508" s="20"/>
      <c r="D2508" s="20"/>
      <c r="E2508" s="20"/>
      <c r="F2508" s="20"/>
      <c r="G2508" s="20"/>
      <c r="H2508" s="20"/>
      <c r="I2508" s="20"/>
      <c r="J2508" s="20"/>
      <c r="K2508" s="20"/>
      <c r="L2508" s="20"/>
      <c r="M2508" s="20"/>
      <c r="N2508" s="20"/>
      <c r="O2508" s="20"/>
      <c r="P2508" s="20"/>
      <c r="Q2508" s="20"/>
      <c r="R2508" s="20"/>
      <c r="S2508" s="20"/>
      <c r="T2508" s="20"/>
      <c r="U2508" s="20"/>
      <c r="V2508" s="20"/>
      <c r="W2508" s="20"/>
      <c r="X2508" s="20"/>
      <c r="Y2508" s="20"/>
    </row>
    <row r="2509" spans="1:25" x14ac:dyDescent="0.3">
      <c r="A2509" s="20"/>
      <c r="B2509" s="20"/>
      <c r="C2509" s="20"/>
      <c r="D2509" s="20"/>
      <c r="E2509" s="20"/>
      <c r="F2509" s="20"/>
      <c r="G2509" s="20"/>
      <c r="H2509" s="20"/>
      <c r="I2509" s="20"/>
      <c r="J2509" s="20"/>
      <c r="K2509" s="20"/>
      <c r="L2509" s="20"/>
      <c r="M2509" s="20"/>
      <c r="N2509" s="20"/>
      <c r="O2509" s="20"/>
      <c r="P2509" s="20"/>
      <c r="Q2509" s="20"/>
      <c r="R2509" s="20"/>
      <c r="S2509" s="20"/>
      <c r="T2509" s="20"/>
      <c r="U2509" s="20"/>
      <c r="V2509" s="20"/>
      <c r="W2509" s="20"/>
      <c r="X2509" s="20"/>
      <c r="Y2509" s="20"/>
    </row>
    <row r="2510" spans="1:25" x14ac:dyDescent="0.3">
      <c r="A2510" s="20"/>
      <c r="B2510" s="20"/>
      <c r="C2510" s="20"/>
      <c r="D2510" s="20"/>
      <c r="E2510" s="20"/>
      <c r="F2510" s="20"/>
      <c r="G2510" s="20"/>
      <c r="H2510" s="20"/>
      <c r="I2510" s="20"/>
      <c r="J2510" s="20"/>
      <c r="K2510" s="20"/>
      <c r="L2510" s="20"/>
      <c r="M2510" s="20"/>
      <c r="N2510" s="20"/>
      <c r="O2510" s="20"/>
      <c r="P2510" s="20"/>
      <c r="Q2510" s="20"/>
      <c r="R2510" s="20"/>
      <c r="S2510" s="20"/>
      <c r="T2510" s="20"/>
      <c r="U2510" s="20"/>
      <c r="V2510" s="20"/>
      <c r="W2510" s="20"/>
      <c r="X2510" s="20"/>
      <c r="Y2510" s="20"/>
    </row>
    <row r="2511" spans="1:25" x14ac:dyDescent="0.3">
      <c r="A2511" s="20"/>
      <c r="B2511" s="20"/>
      <c r="C2511" s="20"/>
      <c r="D2511" s="20"/>
      <c r="E2511" s="20"/>
      <c r="F2511" s="20"/>
      <c r="G2511" s="20"/>
      <c r="H2511" s="20"/>
      <c r="I2511" s="20"/>
      <c r="J2511" s="20"/>
      <c r="K2511" s="20"/>
      <c r="L2511" s="20"/>
      <c r="M2511" s="20"/>
      <c r="N2511" s="20"/>
      <c r="O2511" s="20"/>
      <c r="P2511" s="20"/>
      <c r="Q2511" s="20"/>
      <c r="R2511" s="20"/>
      <c r="S2511" s="20"/>
      <c r="T2511" s="20"/>
      <c r="U2511" s="20"/>
      <c r="V2511" s="20"/>
      <c r="W2511" s="20"/>
      <c r="X2511" s="20"/>
      <c r="Y2511" s="20"/>
    </row>
    <row r="2512" spans="1:25" x14ac:dyDescent="0.3">
      <c r="A2512" s="20"/>
      <c r="B2512" s="20"/>
      <c r="C2512" s="20"/>
      <c r="D2512" s="20"/>
      <c r="E2512" s="20"/>
      <c r="F2512" s="20"/>
      <c r="G2512" s="20"/>
      <c r="H2512" s="20"/>
      <c r="I2512" s="20"/>
      <c r="J2512" s="20"/>
      <c r="K2512" s="20"/>
      <c r="L2512" s="20"/>
      <c r="M2512" s="20"/>
      <c r="N2512" s="20"/>
      <c r="O2512" s="20"/>
      <c r="P2512" s="20"/>
      <c r="Q2512" s="20"/>
      <c r="R2512" s="20"/>
      <c r="S2512" s="20"/>
      <c r="T2512" s="20"/>
      <c r="U2512" s="20"/>
      <c r="V2512" s="20"/>
      <c r="W2512" s="20"/>
      <c r="X2512" s="20"/>
      <c r="Y2512" s="20"/>
    </row>
    <row r="2513" spans="1:25" x14ac:dyDescent="0.3">
      <c r="A2513" s="20"/>
      <c r="B2513" s="20"/>
      <c r="C2513" s="20"/>
      <c r="D2513" s="20"/>
      <c r="E2513" s="20"/>
      <c r="F2513" s="20"/>
      <c r="G2513" s="20"/>
      <c r="H2513" s="20"/>
      <c r="I2513" s="20"/>
      <c r="J2513" s="20"/>
      <c r="K2513" s="20"/>
      <c r="L2513" s="20"/>
      <c r="M2513" s="20"/>
      <c r="N2513" s="20"/>
      <c r="O2513" s="20"/>
      <c r="P2513" s="20"/>
      <c r="Q2513" s="20"/>
      <c r="R2513" s="20"/>
      <c r="S2513" s="20"/>
      <c r="T2513" s="20"/>
      <c r="U2513" s="20"/>
      <c r="V2513" s="20"/>
      <c r="W2513" s="20"/>
      <c r="X2513" s="20"/>
      <c r="Y2513" s="20"/>
    </row>
    <row r="2514" spans="1:25" x14ac:dyDescent="0.3">
      <c r="A2514" s="20"/>
      <c r="B2514" s="20"/>
      <c r="C2514" s="20"/>
      <c r="D2514" s="20"/>
      <c r="E2514" s="20"/>
      <c r="F2514" s="20"/>
      <c r="G2514" s="20"/>
      <c r="H2514" s="20"/>
      <c r="I2514" s="20"/>
      <c r="J2514" s="20"/>
      <c r="K2514" s="20"/>
      <c r="L2514" s="20"/>
      <c r="M2514" s="20"/>
      <c r="N2514" s="20"/>
      <c r="O2514" s="20"/>
      <c r="P2514" s="20"/>
      <c r="Q2514" s="20"/>
      <c r="R2514" s="20"/>
      <c r="S2514" s="20"/>
      <c r="T2514" s="20"/>
      <c r="U2514" s="20"/>
      <c r="V2514" s="20"/>
      <c r="W2514" s="20"/>
      <c r="X2514" s="20"/>
      <c r="Y2514" s="20"/>
    </row>
    <row r="2515" spans="1:25" x14ac:dyDescent="0.3">
      <c r="A2515" s="20"/>
      <c r="B2515" s="20"/>
      <c r="C2515" s="20"/>
      <c r="D2515" s="20"/>
      <c r="E2515" s="20"/>
      <c r="F2515" s="20"/>
      <c r="G2515" s="20"/>
      <c r="H2515" s="20"/>
      <c r="I2515" s="20"/>
      <c r="J2515" s="20"/>
      <c r="K2515" s="20"/>
      <c r="L2515" s="20"/>
      <c r="M2515" s="20"/>
      <c r="N2515" s="20"/>
      <c r="O2515" s="20"/>
      <c r="P2515" s="20"/>
      <c r="Q2515" s="20"/>
      <c r="R2515" s="20"/>
      <c r="S2515" s="20"/>
      <c r="T2515" s="20"/>
      <c r="U2515" s="20"/>
      <c r="V2515" s="20"/>
      <c r="W2515" s="20"/>
      <c r="X2515" s="20"/>
      <c r="Y2515" s="20"/>
    </row>
    <row r="2516" spans="1:25" x14ac:dyDescent="0.3">
      <c r="A2516" s="20"/>
      <c r="B2516" s="20"/>
      <c r="C2516" s="20"/>
      <c r="D2516" s="20"/>
      <c r="E2516" s="20"/>
      <c r="F2516" s="20"/>
      <c r="G2516" s="20"/>
      <c r="H2516" s="20"/>
      <c r="I2516" s="20"/>
      <c r="J2516" s="20"/>
      <c r="K2516" s="20"/>
      <c r="L2516" s="20"/>
      <c r="M2516" s="20"/>
      <c r="N2516" s="20"/>
      <c r="O2516" s="20"/>
      <c r="P2516" s="20"/>
      <c r="Q2516" s="20"/>
      <c r="R2516" s="20"/>
      <c r="S2516" s="20"/>
      <c r="T2516" s="20"/>
      <c r="U2516" s="20"/>
      <c r="V2516" s="20"/>
      <c r="W2516" s="20"/>
      <c r="X2516" s="20"/>
      <c r="Y2516" s="20"/>
    </row>
    <row r="2517" spans="1:25" x14ac:dyDescent="0.3">
      <c r="A2517" s="20"/>
      <c r="B2517" s="20"/>
      <c r="C2517" s="20"/>
      <c r="D2517" s="20"/>
      <c r="E2517" s="20"/>
      <c r="F2517" s="20"/>
      <c r="G2517" s="20"/>
      <c r="H2517" s="20"/>
      <c r="I2517" s="20"/>
      <c r="J2517" s="20"/>
      <c r="K2517" s="20"/>
      <c r="L2517" s="20"/>
      <c r="M2517" s="20"/>
      <c r="N2517" s="20"/>
      <c r="O2517" s="20"/>
      <c r="P2517" s="20"/>
      <c r="Q2517" s="20"/>
      <c r="R2517" s="20"/>
      <c r="S2517" s="20"/>
      <c r="T2517" s="20"/>
      <c r="U2517" s="20"/>
      <c r="V2517" s="20"/>
      <c r="W2517" s="20"/>
      <c r="X2517" s="20"/>
      <c r="Y2517" s="20"/>
    </row>
    <row r="2518" spans="1:25" x14ac:dyDescent="0.3">
      <c r="A2518" s="20"/>
      <c r="B2518" s="20"/>
      <c r="C2518" s="20"/>
      <c r="D2518" s="20"/>
      <c r="E2518" s="20"/>
      <c r="F2518" s="20"/>
      <c r="G2518" s="20"/>
      <c r="H2518" s="20"/>
      <c r="I2518" s="20"/>
      <c r="J2518" s="20"/>
      <c r="K2518" s="20"/>
      <c r="L2518" s="20"/>
      <c r="M2518" s="20"/>
      <c r="N2518" s="20"/>
      <c r="O2518" s="20"/>
      <c r="P2518" s="20"/>
      <c r="Q2518" s="20"/>
      <c r="R2518" s="20"/>
      <c r="S2518" s="20"/>
      <c r="T2518" s="20"/>
      <c r="U2518" s="20"/>
      <c r="V2518" s="20"/>
      <c r="W2518" s="20"/>
      <c r="X2518" s="20"/>
      <c r="Y2518" s="20"/>
    </row>
    <row r="2519" spans="1:25" x14ac:dyDescent="0.3">
      <c r="A2519" s="20"/>
      <c r="B2519" s="20"/>
      <c r="C2519" s="20"/>
      <c r="D2519" s="20"/>
      <c r="E2519" s="20"/>
      <c r="F2519" s="20"/>
      <c r="G2519" s="20"/>
      <c r="H2519" s="20"/>
      <c r="I2519" s="20"/>
      <c r="J2519" s="20"/>
      <c r="K2519" s="20"/>
      <c r="L2519" s="20"/>
      <c r="M2519" s="20"/>
      <c r="N2519" s="20"/>
      <c r="O2519" s="20"/>
      <c r="P2519" s="20"/>
      <c r="Q2519" s="20"/>
      <c r="R2519" s="20"/>
      <c r="S2519" s="20"/>
      <c r="T2519" s="20"/>
      <c r="U2519" s="20"/>
      <c r="V2519" s="20"/>
      <c r="W2519" s="20"/>
      <c r="X2519" s="20"/>
      <c r="Y2519" s="20"/>
    </row>
    <row r="2520" spans="1:25" x14ac:dyDescent="0.3">
      <c r="A2520" s="20"/>
      <c r="B2520" s="20"/>
      <c r="C2520" s="20"/>
      <c r="D2520" s="20"/>
      <c r="E2520" s="20"/>
      <c r="F2520" s="20"/>
      <c r="G2520" s="20"/>
      <c r="H2520" s="20"/>
      <c r="I2520" s="20"/>
      <c r="J2520" s="20"/>
      <c r="K2520" s="20"/>
      <c r="L2520" s="20"/>
      <c r="M2520" s="20"/>
      <c r="N2520" s="20"/>
      <c r="O2520" s="20"/>
      <c r="P2520" s="20"/>
      <c r="Q2520" s="20"/>
      <c r="R2520" s="20"/>
      <c r="S2520" s="20"/>
      <c r="T2520" s="20"/>
      <c r="U2520" s="20"/>
      <c r="V2520" s="20"/>
      <c r="W2520" s="20"/>
      <c r="X2520" s="20"/>
      <c r="Y2520" s="20"/>
    </row>
    <row r="2521" spans="1:25" x14ac:dyDescent="0.3">
      <c r="A2521" s="20"/>
      <c r="B2521" s="20"/>
      <c r="C2521" s="20"/>
      <c r="D2521" s="20"/>
      <c r="E2521" s="20"/>
      <c r="F2521" s="20"/>
      <c r="G2521" s="20"/>
      <c r="H2521" s="20"/>
      <c r="I2521" s="20"/>
      <c r="J2521" s="20"/>
      <c r="K2521" s="20"/>
      <c r="L2521" s="20"/>
      <c r="M2521" s="20"/>
      <c r="N2521" s="20"/>
      <c r="O2521" s="20"/>
      <c r="P2521" s="20"/>
      <c r="Q2521" s="20"/>
      <c r="R2521" s="20"/>
      <c r="S2521" s="20"/>
      <c r="T2521" s="20"/>
      <c r="U2521" s="20"/>
      <c r="V2521" s="20"/>
      <c r="W2521" s="20"/>
      <c r="X2521" s="20"/>
      <c r="Y2521" s="20"/>
    </row>
    <row r="2522" spans="1:25" x14ac:dyDescent="0.3">
      <c r="A2522" s="20"/>
      <c r="B2522" s="20"/>
      <c r="C2522" s="20"/>
      <c r="D2522" s="20"/>
      <c r="E2522" s="20"/>
      <c r="F2522" s="20"/>
      <c r="G2522" s="20"/>
      <c r="H2522" s="20"/>
      <c r="I2522" s="20"/>
      <c r="J2522" s="20"/>
      <c r="K2522" s="20"/>
      <c r="L2522" s="20"/>
      <c r="M2522" s="20"/>
      <c r="N2522" s="20"/>
      <c r="O2522" s="20"/>
      <c r="P2522" s="20"/>
      <c r="Q2522" s="20"/>
      <c r="R2522" s="20"/>
      <c r="S2522" s="20"/>
      <c r="T2522" s="20"/>
      <c r="U2522" s="20"/>
      <c r="V2522" s="20"/>
      <c r="W2522" s="20"/>
      <c r="X2522" s="20"/>
      <c r="Y2522" s="20"/>
    </row>
    <row r="2523" spans="1:25" x14ac:dyDescent="0.3">
      <c r="A2523" s="20"/>
      <c r="B2523" s="20"/>
      <c r="C2523" s="20"/>
      <c r="D2523" s="20"/>
      <c r="E2523" s="20"/>
      <c r="F2523" s="20"/>
      <c r="G2523" s="20"/>
      <c r="H2523" s="20"/>
      <c r="I2523" s="20"/>
      <c r="J2523" s="20"/>
      <c r="K2523" s="20"/>
      <c r="L2523" s="20"/>
      <c r="M2523" s="20"/>
      <c r="N2523" s="20"/>
      <c r="O2523" s="20"/>
      <c r="P2523" s="20"/>
      <c r="Q2523" s="20"/>
      <c r="R2523" s="20"/>
      <c r="S2523" s="20"/>
      <c r="T2523" s="20"/>
      <c r="U2523" s="20"/>
      <c r="V2523" s="20"/>
      <c r="W2523" s="20"/>
      <c r="X2523" s="20"/>
      <c r="Y2523" s="20"/>
    </row>
    <row r="2524" spans="1:25" x14ac:dyDescent="0.3">
      <c r="A2524" s="20"/>
      <c r="B2524" s="20"/>
      <c r="C2524" s="20"/>
      <c r="D2524" s="20"/>
      <c r="E2524" s="20"/>
      <c r="F2524" s="20"/>
      <c r="G2524" s="20"/>
      <c r="H2524" s="20"/>
      <c r="I2524" s="20"/>
      <c r="J2524" s="20"/>
      <c r="K2524" s="20"/>
      <c r="L2524" s="20"/>
      <c r="M2524" s="20"/>
      <c r="N2524" s="20"/>
      <c r="O2524" s="20"/>
      <c r="P2524" s="20"/>
      <c r="Q2524" s="20"/>
      <c r="R2524" s="20"/>
      <c r="S2524" s="20"/>
      <c r="T2524" s="20"/>
      <c r="U2524" s="20"/>
      <c r="V2524" s="20"/>
      <c r="W2524" s="20"/>
      <c r="X2524" s="20"/>
      <c r="Y2524" s="20"/>
    </row>
    <row r="2525" spans="1:25" x14ac:dyDescent="0.3">
      <c r="A2525" s="20"/>
      <c r="B2525" s="20"/>
      <c r="C2525" s="20"/>
      <c r="D2525" s="20"/>
      <c r="E2525" s="20"/>
      <c r="F2525" s="20"/>
      <c r="G2525" s="20"/>
      <c r="H2525" s="20"/>
      <c r="I2525" s="20"/>
      <c r="J2525" s="20"/>
      <c r="K2525" s="20"/>
      <c r="L2525" s="20"/>
      <c r="M2525" s="20"/>
      <c r="N2525" s="20"/>
      <c r="O2525" s="20"/>
      <c r="P2525" s="20"/>
      <c r="Q2525" s="20"/>
      <c r="R2525" s="20"/>
      <c r="S2525" s="20"/>
      <c r="T2525" s="20"/>
      <c r="U2525" s="20"/>
      <c r="V2525" s="20"/>
      <c r="W2525" s="20"/>
      <c r="X2525" s="20"/>
      <c r="Y2525" s="20"/>
    </row>
    <row r="2526" spans="1:25" x14ac:dyDescent="0.3">
      <c r="A2526" s="20"/>
      <c r="B2526" s="20"/>
      <c r="C2526" s="20"/>
      <c r="D2526" s="20"/>
      <c r="E2526" s="20"/>
      <c r="F2526" s="20"/>
      <c r="G2526" s="20"/>
      <c r="H2526" s="20"/>
      <c r="I2526" s="20"/>
      <c r="J2526" s="20"/>
      <c r="K2526" s="20"/>
      <c r="L2526" s="20"/>
      <c r="M2526" s="20"/>
      <c r="N2526" s="20"/>
      <c r="O2526" s="20"/>
      <c r="P2526" s="20"/>
      <c r="Q2526" s="20"/>
      <c r="R2526" s="20"/>
      <c r="S2526" s="20"/>
      <c r="T2526" s="20"/>
      <c r="U2526" s="20"/>
      <c r="V2526" s="20"/>
      <c r="W2526" s="20"/>
      <c r="X2526" s="20"/>
      <c r="Y2526" s="20"/>
    </row>
    <row r="2527" spans="1:25" x14ac:dyDescent="0.3">
      <c r="A2527" s="20"/>
      <c r="B2527" s="20"/>
      <c r="C2527" s="20"/>
      <c r="D2527" s="20"/>
      <c r="E2527" s="20"/>
      <c r="F2527" s="20"/>
      <c r="G2527" s="20"/>
      <c r="H2527" s="20"/>
      <c r="I2527" s="20"/>
      <c r="J2527" s="20"/>
      <c r="K2527" s="20"/>
      <c r="L2527" s="20"/>
      <c r="M2527" s="20"/>
      <c r="N2527" s="20"/>
      <c r="O2527" s="20"/>
      <c r="P2527" s="20"/>
      <c r="Q2527" s="20"/>
      <c r="R2527" s="20"/>
      <c r="S2527" s="20"/>
      <c r="T2527" s="20"/>
      <c r="U2527" s="20"/>
      <c r="V2527" s="20"/>
      <c r="W2527" s="20"/>
      <c r="X2527" s="20"/>
      <c r="Y2527" s="20"/>
    </row>
    <row r="2528" spans="1:25" x14ac:dyDescent="0.3">
      <c r="A2528" s="20"/>
      <c r="B2528" s="20"/>
      <c r="C2528" s="20"/>
      <c r="D2528" s="20"/>
      <c r="E2528" s="20"/>
      <c r="F2528" s="20"/>
      <c r="G2528" s="20"/>
      <c r="H2528" s="20"/>
      <c r="I2528" s="20"/>
      <c r="J2528" s="20"/>
      <c r="K2528" s="20"/>
      <c r="L2528" s="20"/>
      <c r="M2528" s="20"/>
      <c r="N2528" s="20"/>
      <c r="O2528" s="20"/>
      <c r="P2528" s="20"/>
      <c r="Q2528" s="20"/>
      <c r="R2528" s="20"/>
      <c r="S2528" s="20"/>
      <c r="T2528" s="20"/>
      <c r="U2528" s="20"/>
      <c r="V2528" s="20"/>
      <c r="W2528" s="20"/>
      <c r="X2528" s="20"/>
      <c r="Y2528" s="20"/>
    </row>
    <row r="2529" spans="1:25" x14ac:dyDescent="0.3">
      <c r="A2529" s="20"/>
      <c r="B2529" s="20"/>
      <c r="C2529" s="20"/>
      <c r="D2529" s="20"/>
      <c r="E2529" s="20"/>
      <c r="F2529" s="20"/>
      <c r="G2529" s="20"/>
      <c r="H2529" s="20"/>
      <c r="I2529" s="20"/>
      <c r="J2529" s="20"/>
      <c r="K2529" s="20"/>
      <c r="L2529" s="20"/>
      <c r="M2529" s="20"/>
      <c r="N2529" s="20"/>
      <c r="O2529" s="20"/>
      <c r="P2529" s="20"/>
      <c r="Q2529" s="20"/>
      <c r="R2529" s="20"/>
      <c r="S2529" s="20"/>
      <c r="T2529" s="20"/>
      <c r="U2529" s="20"/>
      <c r="V2529" s="20"/>
      <c r="W2529" s="20"/>
      <c r="X2529" s="20"/>
      <c r="Y2529" s="20"/>
    </row>
    <row r="2530" spans="1:25" x14ac:dyDescent="0.3">
      <c r="A2530" s="20"/>
      <c r="B2530" s="20"/>
      <c r="C2530" s="20"/>
      <c r="D2530" s="20"/>
      <c r="E2530" s="20"/>
      <c r="F2530" s="20"/>
      <c r="G2530" s="20"/>
      <c r="H2530" s="20"/>
      <c r="I2530" s="20"/>
      <c r="J2530" s="20"/>
      <c r="K2530" s="20"/>
      <c r="L2530" s="20"/>
      <c r="M2530" s="20"/>
      <c r="N2530" s="20"/>
      <c r="O2530" s="20"/>
      <c r="P2530" s="20"/>
      <c r="Q2530" s="20"/>
      <c r="R2530" s="20"/>
      <c r="S2530" s="20"/>
      <c r="T2530" s="20"/>
      <c r="U2530" s="20"/>
      <c r="V2530" s="20"/>
      <c r="W2530" s="20"/>
      <c r="X2530" s="20"/>
      <c r="Y2530" s="2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Pivot Table</vt:lpstr>
      <vt:lpstr>Dashboard</vt:lpstr>
      <vt:lpstr>Project 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Ruth Lawrence</cp:lastModifiedBy>
  <dcterms:created xsi:type="dcterms:W3CDTF">2026-07-10T00:15:54Z</dcterms:created>
  <dcterms:modified xsi:type="dcterms:W3CDTF">2026-07-18T01:52:09Z</dcterms:modified>
</cp:coreProperties>
</file>